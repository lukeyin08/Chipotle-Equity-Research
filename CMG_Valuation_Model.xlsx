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lukeyin/Desktop/Chipotle DCF/"/>
    </mc:Choice>
  </mc:AlternateContent>
  <xr:revisionPtr revIDLastSave="0" documentId="13_ncr:1_{217E54F3-CB51-804F-B63D-2BA5EDA01183}" xr6:coauthVersionLast="47" xr6:coauthVersionMax="47" xr10:uidLastSave="{00000000-0000-0000-0000-000000000000}"/>
  <bookViews>
    <workbookView xWindow="0" yWindow="740" windowWidth="30240" windowHeight="18900" tabRatio="500" activeTab="6" xr2:uid="{00000000-000D-0000-FFFF-FFFF00000000}"/>
  </bookViews>
  <sheets>
    <sheet name="Read Me" sheetId="1" r:id="rId1"/>
    <sheet name="Assumptions" sheetId="2" r:id="rId2"/>
    <sheet name="Income Statement" sheetId="3" r:id="rId3"/>
    <sheet name="Balance Sheet" sheetId="4" r:id="rId4"/>
    <sheet name="Cash Flow" sheetId="5" r:id="rId5"/>
    <sheet name="DCF" sheetId="6" r:id="rId6"/>
    <sheet name="Comp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3" i="7" l="1"/>
  <c r="J12" i="7"/>
  <c r="C28" i="7" s="1"/>
  <c r="I12" i="7"/>
  <c r="G12" i="7"/>
  <c r="C17" i="7" s="1"/>
  <c r="C42" i="6"/>
  <c r="C10" i="6"/>
  <c r="C13" i="6" s="1"/>
  <c r="C7" i="6"/>
  <c r="F20" i="5"/>
  <c r="J7" i="5"/>
  <c r="I7" i="5"/>
  <c r="H7" i="5"/>
  <c r="G7" i="5"/>
  <c r="F7" i="5"/>
  <c r="E7" i="5"/>
  <c r="D7" i="5"/>
  <c r="C7" i="5"/>
  <c r="E6" i="5"/>
  <c r="D6" i="5"/>
  <c r="C6" i="5"/>
  <c r="E29" i="4"/>
  <c r="C19" i="7" s="1"/>
  <c r="D29" i="4"/>
  <c r="C29" i="4"/>
  <c r="C27" i="4"/>
  <c r="E24" i="4"/>
  <c r="E26" i="4" s="1"/>
  <c r="D24" i="4"/>
  <c r="D26" i="4" s="1"/>
  <c r="D27" i="4" s="1"/>
  <c r="G23" i="4"/>
  <c r="H23" i="4" s="1"/>
  <c r="I23" i="4" s="1"/>
  <c r="J23" i="4" s="1"/>
  <c r="F23" i="4"/>
  <c r="E21" i="4"/>
  <c r="D21" i="4"/>
  <c r="C21" i="4"/>
  <c r="C24" i="4" s="1"/>
  <c r="C26" i="4" s="1"/>
  <c r="E15" i="4"/>
  <c r="E27" i="4" s="1"/>
  <c r="F14" i="4"/>
  <c r="G14" i="4" s="1"/>
  <c r="H14" i="4" s="1"/>
  <c r="I14" i="4" s="1"/>
  <c r="J14" i="4" s="1"/>
  <c r="F13" i="4"/>
  <c r="G13" i="4" s="1"/>
  <c r="H13" i="4" s="1"/>
  <c r="I13" i="4" s="1"/>
  <c r="J13" i="4" s="1"/>
  <c r="F12" i="4"/>
  <c r="G12" i="4" s="1"/>
  <c r="H12" i="4" s="1"/>
  <c r="I12" i="4" s="1"/>
  <c r="J12" i="4" s="1"/>
  <c r="E10" i="4"/>
  <c r="D10" i="4"/>
  <c r="D15" i="4" s="1"/>
  <c r="C10" i="4"/>
  <c r="C15" i="4" s="1"/>
  <c r="F6" i="4"/>
  <c r="G6" i="4" s="1"/>
  <c r="H6" i="4" s="1"/>
  <c r="I6" i="4" s="1"/>
  <c r="J6" i="4" s="1"/>
  <c r="C32" i="3"/>
  <c r="C25" i="3"/>
  <c r="C27" i="3" s="1"/>
  <c r="C31" i="3" s="1"/>
  <c r="F24" i="3"/>
  <c r="D22" i="3"/>
  <c r="D21" i="3"/>
  <c r="C21" i="3"/>
  <c r="C22" i="3" s="1"/>
  <c r="C23" i="3" s="1"/>
  <c r="D15" i="3"/>
  <c r="D16" i="3" s="1"/>
  <c r="C15" i="3"/>
  <c r="C16" i="3" s="1"/>
  <c r="E14" i="3"/>
  <c r="E21" i="3" s="1"/>
  <c r="E22" i="3" s="1"/>
  <c r="D14" i="3"/>
  <c r="C14" i="3"/>
  <c r="E9" i="3"/>
  <c r="D9" i="3"/>
  <c r="J6" i="3"/>
  <c r="I6" i="3"/>
  <c r="H6" i="3"/>
  <c r="G6" i="3"/>
  <c r="F6" i="3"/>
  <c r="E6" i="3"/>
  <c r="D6" i="3"/>
  <c r="C6" i="3"/>
  <c r="F5" i="3"/>
  <c r="E5" i="3"/>
  <c r="D5" i="3"/>
  <c r="C5" i="3"/>
  <c r="I23" i="2"/>
  <c r="H23" i="2"/>
  <c r="G23" i="2"/>
  <c r="D23" i="2"/>
  <c r="C23" i="2"/>
  <c r="J18" i="2"/>
  <c r="J23" i="2" s="1"/>
  <c r="I18" i="2"/>
  <c r="H18" i="2"/>
  <c r="G18" i="2"/>
  <c r="F18" i="2"/>
  <c r="F23" i="2" s="1"/>
  <c r="E18" i="2"/>
  <c r="E23" i="2" s="1"/>
  <c r="D18" i="2"/>
  <c r="C18" i="2"/>
  <c r="D10" i="2"/>
  <c r="E9" i="2"/>
  <c r="E10" i="2" s="1"/>
  <c r="F10" i="2" s="1"/>
  <c r="G10" i="2" s="1"/>
  <c r="H10" i="2" s="1"/>
  <c r="I10" i="2" s="1"/>
  <c r="J10" i="2" s="1"/>
  <c r="D9" i="2"/>
  <c r="E8" i="2"/>
  <c r="D8" i="2"/>
  <c r="E7" i="2"/>
  <c r="D7" i="2"/>
  <c r="G6" i="2"/>
  <c r="F6" i="2"/>
  <c r="F8" i="2" s="1"/>
  <c r="D16" i="1"/>
  <c r="E23" i="3" l="1"/>
  <c r="E32" i="3"/>
  <c r="E25" i="3"/>
  <c r="E27" i="3" s="1"/>
  <c r="G24" i="6"/>
  <c r="H24" i="6"/>
  <c r="F24" i="6"/>
  <c r="I24" i="6"/>
  <c r="J24" i="6"/>
  <c r="D32" i="3"/>
  <c r="D23" i="3"/>
  <c r="F9" i="2"/>
  <c r="F8" i="3" s="1"/>
  <c r="D25" i="3"/>
  <c r="D27" i="3" s="1"/>
  <c r="C28" i="3"/>
  <c r="G5" i="3"/>
  <c r="H6" i="2"/>
  <c r="H9" i="2"/>
  <c r="H8" i="3" s="1"/>
  <c r="G8" i="2"/>
  <c r="G9" i="2"/>
  <c r="G8" i="3" s="1"/>
  <c r="C5" i="5"/>
  <c r="E15" i="3"/>
  <c r="E16" i="3" s="1"/>
  <c r="G13" i="3" l="1"/>
  <c r="G11" i="3"/>
  <c r="G9" i="3"/>
  <c r="G12" i="3"/>
  <c r="G10" i="3"/>
  <c r="G14" i="3" s="1"/>
  <c r="G20" i="6"/>
  <c r="G20" i="4"/>
  <c r="G18" i="4"/>
  <c r="G12" i="5" s="1"/>
  <c r="G20" i="3"/>
  <c r="G18" i="3"/>
  <c r="G19" i="4"/>
  <c r="G17" i="4"/>
  <c r="G15" i="5"/>
  <c r="G16" i="5" s="1"/>
  <c r="G8" i="4"/>
  <c r="G22" i="4"/>
  <c r="G19" i="3"/>
  <c r="G17" i="3"/>
  <c r="G9" i="4"/>
  <c r="H10" i="5" s="1"/>
  <c r="G7" i="4"/>
  <c r="D5" i="5"/>
  <c r="D31" i="3"/>
  <c r="D28" i="3"/>
  <c r="I6" i="2"/>
  <c r="H5" i="3"/>
  <c r="I9" i="2"/>
  <c r="I8" i="3" s="1"/>
  <c r="H8" i="2"/>
  <c r="E28" i="3"/>
  <c r="E5" i="5"/>
  <c r="E31" i="3"/>
  <c r="F5" i="7"/>
  <c r="G5" i="7" s="1"/>
  <c r="C16" i="7"/>
  <c r="C18" i="7" s="1"/>
  <c r="C20" i="7" s="1"/>
  <c r="C22" i="7" s="1"/>
  <c r="H19" i="4"/>
  <c r="H13" i="5" s="1"/>
  <c r="H17" i="4"/>
  <c r="H19" i="3"/>
  <c r="H17" i="3"/>
  <c r="H20" i="6"/>
  <c r="H12" i="3"/>
  <c r="H10" i="3"/>
  <c r="H14" i="3" s="1"/>
  <c r="H18" i="3"/>
  <c r="H20" i="4"/>
  <c r="H18" i="4"/>
  <c r="H20" i="3"/>
  <c r="H15" i="5"/>
  <c r="H16" i="5" s="1"/>
  <c r="H8" i="4"/>
  <c r="H13" i="3"/>
  <c r="H11" i="3"/>
  <c r="H9" i="3"/>
  <c r="H22" i="4"/>
  <c r="H9" i="4"/>
  <c r="H7" i="4"/>
  <c r="F22" i="4"/>
  <c r="F11" i="4" s="1"/>
  <c r="G11" i="4" s="1"/>
  <c r="H11" i="4" s="1"/>
  <c r="F20" i="6"/>
  <c r="F12" i="3"/>
  <c r="F10" i="3"/>
  <c r="F14" i="3" s="1"/>
  <c r="F21" i="3" s="1"/>
  <c r="F22" i="3" s="1"/>
  <c r="F18" i="3"/>
  <c r="F13" i="3"/>
  <c r="F9" i="3"/>
  <c r="F20" i="4"/>
  <c r="F17" i="3"/>
  <c r="F15" i="5"/>
  <c r="F16" i="5" s="1"/>
  <c r="F9" i="4"/>
  <c r="F19" i="4"/>
  <c r="F13" i="5" s="1"/>
  <c r="F20" i="3"/>
  <c r="F11" i="3"/>
  <c r="F8" i="4"/>
  <c r="F18" i="4"/>
  <c r="F12" i="5" s="1"/>
  <c r="F19" i="3"/>
  <c r="F17" i="4"/>
  <c r="F7" i="4"/>
  <c r="F25" i="3" l="1"/>
  <c r="F16" i="6"/>
  <c r="F23" i="3"/>
  <c r="F32" i="3"/>
  <c r="H21" i="3"/>
  <c r="H22" i="3" s="1"/>
  <c r="G10" i="5"/>
  <c r="F10" i="5"/>
  <c r="F15" i="3"/>
  <c r="F16" i="3" s="1"/>
  <c r="I9" i="4"/>
  <c r="I7" i="4"/>
  <c r="I20" i="4"/>
  <c r="I18" i="4"/>
  <c r="I12" i="5" s="1"/>
  <c r="I20" i="3"/>
  <c r="I18" i="3"/>
  <c r="I8" i="4"/>
  <c r="I15" i="5"/>
  <c r="I16" i="5" s="1"/>
  <c r="I19" i="4"/>
  <c r="I13" i="5" s="1"/>
  <c r="I17" i="4"/>
  <c r="I19" i="3"/>
  <c r="I17" i="3"/>
  <c r="I22" i="4"/>
  <c r="I11" i="3"/>
  <c r="I10" i="3"/>
  <c r="I12" i="3"/>
  <c r="I20" i="6"/>
  <c r="I13" i="3"/>
  <c r="I9" i="3"/>
  <c r="G21" i="3"/>
  <c r="G22" i="3" s="1"/>
  <c r="G8" i="5"/>
  <c r="F8" i="5"/>
  <c r="J6" i="2"/>
  <c r="I8" i="2"/>
  <c r="I5" i="3"/>
  <c r="G15" i="3"/>
  <c r="G16" i="3" s="1"/>
  <c r="H15" i="3"/>
  <c r="H16" i="3" s="1"/>
  <c r="I8" i="5"/>
  <c r="H12" i="5"/>
  <c r="C24" i="7"/>
  <c r="D19" i="1"/>
  <c r="G13" i="5"/>
  <c r="H9" i="5"/>
  <c r="F21" i="4"/>
  <c r="F24" i="4" s="1"/>
  <c r="F11" i="5"/>
  <c r="H11" i="5"/>
  <c r="H21" i="4"/>
  <c r="H24" i="4" s="1"/>
  <c r="G11" i="5"/>
  <c r="G21" i="4"/>
  <c r="G24" i="4" s="1"/>
  <c r="G19" i="6"/>
  <c r="G6" i="5"/>
  <c r="G9" i="5"/>
  <c r="F9" i="5"/>
  <c r="F6" i="5"/>
  <c r="F19" i="6"/>
  <c r="H6" i="5"/>
  <c r="H19" i="6"/>
  <c r="H8" i="5"/>
  <c r="I11" i="5" l="1"/>
  <c r="I21" i="4"/>
  <c r="I24" i="4" s="1"/>
  <c r="H16" i="6"/>
  <c r="H32" i="3"/>
  <c r="H23" i="3"/>
  <c r="J8" i="2"/>
  <c r="J5" i="3"/>
  <c r="I19" i="6"/>
  <c r="I6" i="5"/>
  <c r="J9" i="2"/>
  <c r="J8" i="3" s="1"/>
  <c r="I10" i="5"/>
  <c r="I11" i="4"/>
  <c r="I9" i="5"/>
  <c r="I21" i="6" s="1"/>
  <c r="I14" i="3"/>
  <c r="F21" i="6"/>
  <c r="H21" i="6"/>
  <c r="G21" i="6"/>
  <c r="F18" i="6"/>
  <c r="F17" i="6"/>
  <c r="G16" i="6"/>
  <c r="G23" i="3"/>
  <c r="G32" i="3"/>
  <c r="F26" i="3"/>
  <c r="F27" i="3" s="1"/>
  <c r="F5" i="5" l="1"/>
  <c r="F14" i="5" s="1"/>
  <c r="F28" i="3"/>
  <c r="I21" i="3"/>
  <c r="I22" i="3" s="1"/>
  <c r="I15" i="3"/>
  <c r="I16" i="3" s="1"/>
  <c r="G17" i="6"/>
  <c r="G18" i="6"/>
  <c r="G22" i="6" s="1"/>
  <c r="G25" i="6" s="1"/>
  <c r="H17" i="6"/>
  <c r="H18" i="6" s="1"/>
  <c r="H22" i="6" s="1"/>
  <c r="H25" i="6" s="1"/>
  <c r="J22" i="4"/>
  <c r="J15" i="5"/>
  <c r="J16" i="5" s="1"/>
  <c r="J8" i="4"/>
  <c r="J9" i="5" s="1"/>
  <c r="J9" i="4"/>
  <c r="J10" i="5" s="1"/>
  <c r="J7" i="4"/>
  <c r="J8" i="5" s="1"/>
  <c r="J17" i="3"/>
  <c r="J12" i="3"/>
  <c r="J11" i="3"/>
  <c r="J19" i="4"/>
  <c r="J13" i="5" s="1"/>
  <c r="J20" i="3"/>
  <c r="J20" i="4"/>
  <c r="J11" i="4" s="1"/>
  <c r="J19" i="3"/>
  <c r="J18" i="4"/>
  <c r="J12" i="5" s="1"/>
  <c r="J10" i="3"/>
  <c r="J20" i="6"/>
  <c r="J17" i="4"/>
  <c r="J13" i="3"/>
  <c r="J9" i="3"/>
  <c r="J18" i="3"/>
  <c r="F22" i="6"/>
  <c r="J11" i="5" l="1"/>
  <c r="J21" i="4"/>
  <c r="J24" i="4" s="1"/>
  <c r="F25" i="6"/>
  <c r="J21" i="6"/>
  <c r="J14" i="3"/>
  <c r="I23" i="3"/>
  <c r="I32" i="3"/>
  <c r="I16" i="6"/>
  <c r="J19" i="6"/>
  <c r="J6" i="5"/>
  <c r="F23" i="5"/>
  <c r="F17" i="5"/>
  <c r="I17" i="6" l="1"/>
  <c r="I18" i="6" s="1"/>
  <c r="I22" i="6" s="1"/>
  <c r="J21" i="3"/>
  <c r="J22" i="3" s="1"/>
  <c r="J15" i="3"/>
  <c r="J16" i="3" s="1"/>
  <c r="F24" i="5"/>
  <c r="F18" i="5"/>
  <c r="F19" i="5" s="1"/>
  <c r="F21" i="5" s="1"/>
  <c r="F5" i="4" s="1"/>
  <c r="I25" i="6" l="1"/>
  <c r="J32" i="3"/>
  <c r="C36" i="6" s="1"/>
  <c r="C37" i="6" s="1"/>
  <c r="C38" i="6" s="1"/>
  <c r="J23" i="3"/>
  <c r="J16" i="6"/>
  <c r="F10" i="4"/>
  <c r="F15" i="4" s="1"/>
  <c r="G24" i="3"/>
  <c r="G25" i="3" s="1"/>
  <c r="G20" i="5"/>
  <c r="F29" i="4"/>
  <c r="F28" i="5"/>
  <c r="F29" i="5" s="1"/>
  <c r="F25" i="4"/>
  <c r="G26" i="3" l="1"/>
  <c r="G27" i="3"/>
  <c r="J17" i="6"/>
  <c r="J18" i="6"/>
  <c r="J22" i="6" s="1"/>
  <c r="F30" i="3"/>
  <c r="F31" i="3" s="1"/>
  <c r="C27" i="7" s="1"/>
  <c r="C29" i="7" s="1"/>
  <c r="G27" i="5"/>
  <c r="F26" i="4"/>
  <c r="F27" i="4" s="1"/>
  <c r="C30" i="6" l="1"/>
  <c r="C31" i="6" s="1"/>
  <c r="C32" i="6" s="1"/>
  <c r="J25" i="6"/>
  <c r="C27" i="6" s="1"/>
  <c r="G68" i="6"/>
  <c r="H64" i="6"/>
  <c r="H60" i="6"/>
  <c r="G66" i="6"/>
  <c r="I66" i="6"/>
  <c r="G59" i="6"/>
  <c r="F56" i="6"/>
  <c r="H58" i="6"/>
  <c r="I59" i="6"/>
  <c r="G57" i="6"/>
  <c r="J68" i="6"/>
  <c r="H67" i="6"/>
  <c r="J67" i="6"/>
  <c r="F67" i="6"/>
  <c r="J65" i="6"/>
  <c r="H57" i="6"/>
  <c r="H68" i="6"/>
  <c r="G58" i="6"/>
  <c r="F64" i="6"/>
  <c r="G56" i="6"/>
  <c r="F58" i="6"/>
  <c r="F59" i="6"/>
  <c r="I67" i="6"/>
  <c r="G67" i="6"/>
  <c r="F57" i="6"/>
  <c r="I58" i="6"/>
  <c r="I60" i="6"/>
  <c r="I56" i="6"/>
  <c r="F66" i="6"/>
  <c r="H65" i="6"/>
  <c r="J66" i="6"/>
  <c r="F65" i="6"/>
  <c r="G65" i="6"/>
  <c r="H59" i="6"/>
  <c r="I65" i="6"/>
  <c r="F68" i="6"/>
  <c r="H66" i="6"/>
  <c r="G60" i="6"/>
  <c r="J64" i="6"/>
  <c r="J59" i="6"/>
  <c r="I57" i="6"/>
  <c r="J57" i="6"/>
  <c r="G64" i="6"/>
  <c r="H56" i="6"/>
  <c r="J58" i="6"/>
  <c r="I68" i="6"/>
  <c r="J56" i="6"/>
  <c r="F60" i="6"/>
  <c r="J60" i="6"/>
  <c r="I64" i="6"/>
  <c r="G5" i="5"/>
  <c r="G14" i="5" s="1"/>
  <c r="G28" i="3"/>
  <c r="C39" i="6" l="1"/>
  <c r="C47" i="6" s="1"/>
  <c r="C48" i="6" s="1"/>
  <c r="C33" i="6"/>
  <c r="C45" i="6" s="1"/>
  <c r="C46" i="6" s="1"/>
  <c r="C49" i="6" s="1"/>
  <c r="G23" i="5"/>
  <c r="G17" i="5"/>
  <c r="G24" i="5" l="1"/>
  <c r="G18" i="5"/>
  <c r="G19" i="5" s="1"/>
  <c r="G21" i="5" s="1"/>
  <c r="G5" i="4" s="1"/>
  <c r="C50" i="6"/>
  <c r="D18" i="1" s="1"/>
  <c r="D20" i="1"/>
  <c r="D21" i="1" s="1"/>
  <c r="D17" i="1"/>
  <c r="G10" i="4" l="1"/>
  <c r="G15" i="4" s="1"/>
  <c r="H24" i="3"/>
  <c r="H25" i="3" s="1"/>
  <c r="H20" i="5"/>
  <c r="G29" i="4"/>
  <c r="G28" i="5"/>
  <c r="G29" i="5" s="1"/>
  <c r="G25" i="4"/>
  <c r="G26" i="4" l="1"/>
  <c r="H26" i="3"/>
  <c r="H27" i="3" s="1"/>
  <c r="H27" i="5"/>
  <c r="G30" i="3"/>
  <c r="G31" i="3" s="1"/>
  <c r="G27" i="4"/>
  <c r="H28" i="3" l="1"/>
  <c r="H5" i="5"/>
  <c r="H14" i="5" s="1"/>
  <c r="H17" i="5" l="1"/>
  <c r="H23" i="5"/>
  <c r="H24" i="5" l="1"/>
  <c r="H18" i="5"/>
  <c r="H19" i="5" s="1"/>
  <c r="H21" i="5" s="1"/>
  <c r="H5" i="4" s="1"/>
  <c r="I20" i="5" l="1"/>
  <c r="H29" i="4"/>
  <c r="I24" i="3"/>
  <c r="I25" i="3" s="1"/>
  <c r="H10" i="4"/>
  <c r="H15" i="4" s="1"/>
  <c r="H28" i="5"/>
  <c r="H29" i="5" s="1"/>
  <c r="H25" i="4"/>
  <c r="H26" i="4" l="1"/>
  <c r="H27" i="4"/>
  <c r="I27" i="5"/>
  <c r="H30" i="3"/>
  <c r="H31" i="3" s="1"/>
  <c r="I26" i="3"/>
  <c r="I27" i="3" s="1"/>
  <c r="I28" i="3" l="1"/>
  <c r="I5" i="5"/>
  <c r="I14" i="5" s="1"/>
  <c r="I23" i="5" l="1"/>
  <c r="I17" i="5"/>
  <c r="I18" i="5" l="1"/>
  <c r="I19" i="5" s="1"/>
  <c r="I21" i="5" s="1"/>
  <c r="I5" i="4" s="1"/>
  <c r="I24" i="5"/>
  <c r="I28" i="5" l="1"/>
  <c r="I29" i="5" s="1"/>
  <c r="I25" i="4"/>
  <c r="J24" i="3"/>
  <c r="J25" i="3" s="1"/>
  <c r="J20" i="5"/>
  <c r="I29" i="4"/>
  <c r="I10" i="4"/>
  <c r="I15" i="4" s="1"/>
  <c r="J26" i="3" l="1"/>
  <c r="J27" i="3"/>
  <c r="I26" i="4"/>
  <c r="I27" i="4" s="1"/>
  <c r="J27" i="5"/>
  <c r="I30" i="3"/>
  <c r="I31" i="3" s="1"/>
  <c r="J5" i="5" l="1"/>
  <c r="J14" i="5" s="1"/>
  <c r="J28" i="3"/>
  <c r="J17" i="5" l="1"/>
  <c r="J23" i="5"/>
  <c r="J24" i="5" l="1"/>
  <c r="J18" i="5"/>
  <c r="J19" i="5" s="1"/>
  <c r="J21" i="5" s="1"/>
  <c r="J5" i="4" s="1"/>
  <c r="J29" i="4" l="1"/>
  <c r="J10" i="4"/>
  <c r="J15" i="4" s="1"/>
  <c r="J28" i="5"/>
  <c r="J29" i="5" s="1"/>
  <c r="J30" i="3" s="1"/>
  <c r="J31" i="3" s="1"/>
  <c r="J25" i="4"/>
  <c r="J26" i="4" s="1"/>
  <c r="J2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E6" authorId="0" shapeId="0" xr:uid="{00000000-0006-0000-0100-000001000000}">
      <text>
        <r>
          <rPr>
            <sz val="10"/>
            <rFont val="Arial"/>
            <family val="2"/>
          </rPr>
          <t>Source: Chipotle FY2025 10-K / Q4-FY2025 press release (Feb 3, 2026). 4,056 total incl. 14 intl partner-operated; 4,042 company-operated.</t>
        </r>
      </text>
    </comment>
    <comment ref="E11" authorId="0" shapeId="0" xr:uid="{00000000-0006-0000-0100-000002000000}">
      <text>
        <r>
          <rPr>
            <sz val="10"/>
            <rFont val="Arial"/>
            <family val="2"/>
          </rPr>
          <t>FY2025 comps -1.7% (transactions -2.9%, avg check +1.2%). Source: Q4-FY2025 press release.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E8" authorId="0" shapeId="0" xr:uid="{00000000-0006-0000-0200-000001000000}">
      <text>
        <r>
          <rPr>
            <sz val="10"/>
            <rFont val="Arial"/>
            <family val="2"/>
          </rPr>
          <t>Source: Chipotle FY2025 10-K / press release. Total revenue $11,925.6mm.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F27" authorId="0" shapeId="0" xr:uid="{00000000-0006-0000-0400-000001000000}">
      <text>
        <r>
          <rPr>
            <sz val="10"/>
            <rFont val="Arial"/>
            <family val="2"/>
          </rPr>
          <t>FY2026E starting diluted share count is about current shares outstanding (~1.28-1.30bn post 50:1 split, Jun 2026).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C4" authorId="0" shapeId="0" xr:uid="{00000000-0006-0000-0500-000001000000}">
      <text>
        <r>
          <rPr>
            <sz val="10"/>
            <rFont val="Arial"/>
            <family val="2"/>
          </rPr>
          <t>Source: U.S. 10-Year Treasury yield 4.48%, Jun 23 2026 (tradingeconomics/Fed H.15).</t>
        </r>
      </text>
    </comment>
    <comment ref="C44" authorId="0" shapeId="0" xr:uid="{00000000-0006-0000-0500-000002000000}">
      <text>
        <r>
          <rPr>
            <sz val="10"/>
            <rFont val="Arial"/>
            <family val="2"/>
          </rPr>
          <t>CMG close $30.54 on Jun 22, 2026 (NYSE).</t>
        </r>
      </text>
    </comment>
  </commentList>
</comments>
</file>

<file path=xl/sharedStrings.xml><?xml version="1.0" encoding="utf-8"?>
<sst xmlns="http://schemas.openxmlformats.org/spreadsheetml/2006/main" count="290" uniqueCount="241">
  <si>
    <t>Chipotle Mexican Grill (CMG): Valuation Model &amp; Stock Pitch</t>
  </si>
  <si>
    <t>WHAT THIS IS</t>
  </si>
  <si>
    <t>A formula-linked 3-statement model (income statement, balance sheet, cash flow) for Chipotle, with a DCF and a comparable-companies analysis. History (FY2023-FY2025) comes from Chipotle's reported financials; FY2026E-FY2030E are projected from the assumptions you can edit.</t>
  </si>
  <si>
    <t>HOW TO USE IT</t>
  </si>
  <si>
    <t>• The inputs are on the Assumptions tab; change those values. Every other tab is driven by formulas.</t>
  </si>
  <si>
    <t>• Start on the Assumptions tab: unit growth, comparable sales, and cost margins drive the whole model.</t>
  </si>
  <si>
    <t>• The DCF tab builds WACC, discounts unlevered free cash flow, and shows two terminal-value methods plus sensitivity tables.</t>
  </si>
  <si>
    <t>• The Balance Sheet tab has a 'Balance check' row (row 27) that must read 0 in every year, which proves the statements tie together.</t>
  </si>
  <si>
    <t>TABS</t>
  </si>
  <si>
    <t>Assumptions · Income Statement · Balance Sheet · Cash Flow · DCF · Comps</t>
  </si>
  <si>
    <t>VALUATION SUMMARY (auto-calculated)</t>
  </si>
  <si>
    <t>Current price (Jun 22, 2026):</t>
  </si>
  <si>
    <t>DCF average implied price:</t>
  </si>
  <si>
    <t>DCF upside/(downside):</t>
  </si>
  <si>
    <t>Comps (EV/EBITDA) implied price:</t>
  </si>
  <si>
    <t>Blended target (DCF + comps avg):</t>
  </si>
  <si>
    <t>Blended upside/(downside):</t>
  </si>
  <si>
    <t>KEY ASSUMPTIONS (base case)</t>
  </si>
  <si>
    <t>• Unit growth: about 320-410 net new restaurants a year, toward the company's long-term ~7,000 N.A. target (~8% unit growth).</t>
  </si>
  <si>
    <t>• Comparable sales: recover from -1.7% (FY2025) to +1.5%, then +3.0-3.5% as traffic normalizes and menu changes and price contribute.</t>
  </si>
  <si>
    <t>• Restaurant-level margin: ~25.4% (FY2025) recovering toward ~27% as sales improve; operating margin to ~18%.</t>
  </si>
  <si>
    <t>• WACC ~9.4% (beta 0.98, ERP 5.0%, risk-free 4.48%); terminal growth 3.0%; exit EV/EBITDA 18.0x. No funded debt (leases treated as operating).</t>
  </si>
  <si>
    <t>TALKING POINTS (how to defend it)</t>
  </si>
  <si>
    <t>• Thesis: CMG earns high returns (ROIC over 20%) and has fallen ~40% over the past year on soft traffic. At ~19x EV/EBITDA and ~26x forward earnings it trades below fast-casual peers (CAVA ~72x, WING ~25x) despite greater scale and stronger unit economics.</t>
  </si>
  <si>
    <t>• Value drivers: unit growth (room to reach ~7,000 N.A. stores), margin recovery as sales improve, and heavy buybacks lowering the share count about 2-3% a year.</t>
  </si>
  <si>
    <t>• Why leases are treated as operating: CMG has no traditional borrowings, so its reported 'debt' is capitalized operating leases. Occupancy (rent) is already in the P&amp;L, so FCF is after rent and net debt excludes lease liabilities. This keeps the DCF consistent.</t>
  </si>
  <si>
    <t>• Key risks: persistent traffic weakness, wage/food (beef, chicken) inflation and tariffs, cannibalization as the base grows, and a premium multiple that leaves little room for error.</t>
  </si>
  <si>
    <t>DATA SOURCES</t>
  </si>
  <si>
    <t>• Chipotle Q4 and FY2025 results (Feb 3, 2026): newsroom.chipotle.com / prnewswire, for income statement detail, comps, unit counts, restaurant-level margin.</t>
  </si>
  <si>
    <t>• Chipotle 10-K FY2025 (SEC EDGAR, CIK 0001058090).</t>
  </si>
  <si>
    <t>• stockanalysis.com (S&amp;P Global / Fiscal.ai), for multi-year financials, market data, and peer statistics (CMG, CAVA, WING, SHAK, TXRH, SG), Jun 2026.</t>
  </si>
  <si>
    <t>• U.S. 10-Year Treasury yield 4.48% (Jun 23, 2026), tradingeconomics / Federal Reserve H.15.</t>
  </si>
  <si>
    <t>Chipotle Mexican Grill (CMG): Assumptions &amp; Drivers</t>
  </si>
  <si>
    <t>Inputs live on this tab; change the values. ($ in millions unless noted; fiscal year = calendar year)</t>
  </si>
  <si>
    <t>Driver</t>
  </si>
  <si>
    <t>FY2023</t>
  </si>
  <si>
    <t>FY2024</t>
  </si>
  <si>
    <t>FY2025</t>
  </si>
  <si>
    <t>FY2026E</t>
  </si>
  <si>
    <t>FY2027E</t>
  </si>
  <si>
    <t>FY2028E</t>
  </si>
  <si>
    <t>FY2029E</t>
  </si>
  <si>
    <t>FY2030E</t>
  </si>
  <si>
    <t>OPERATING DRIVERS</t>
  </si>
  <si>
    <t>Company-operated restaurants (end of period)</t>
  </si>
  <si>
    <t xml:space="preserve">   Net new units added</t>
  </si>
  <si>
    <t xml:space="preserve">   % unit growth</t>
  </si>
  <si>
    <t>Average units (period)</t>
  </si>
  <si>
    <t>Sales per average unit ($mm)</t>
  </si>
  <si>
    <t>Comparable restaurant sales growth %</t>
  </si>
  <si>
    <t>MARGIN &amp; COST DRIVERS (% of revenue)</t>
  </si>
  <si>
    <t>Food, beverage &amp; packaging</t>
  </si>
  <si>
    <t>Labor</t>
  </si>
  <si>
    <t>Occupancy</t>
  </si>
  <si>
    <t>Other operating costs</t>
  </si>
  <si>
    <t xml:space="preserve">   Restaurant-level margin % (=1 − above)</t>
  </si>
  <si>
    <t>General &amp; administrative</t>
  </si>
  <si>
    <t>Depreciation &amp; amortization</t>
  </si>
  <si>
    <t>Pre-opening costs</t>
  </si>
  <si>
    <t>Impairment, closure &amp; other</t>
  </si>
  <si>
    <t xml:space="preserve">   Operating margin % (implied)</t>
  </si>
  <si>
    <t>OTHER DRIVERS</t>
  </si>
  <si>
    <t>Interest &amp; other income (% of beg. cash+investments)</t>
  </si>
  <si>
    <t>Effective tax rate</t>
  </si>
  <si>
    <t>Capital expenditures (% of revenue)</t>
  </si>
  <si>
    <t>Stock-based compensation ($mm)</t>
  </si>
  <si>
    <t>Buyback payout (% of free cash flow)</t>
  </si>
  <si>
    <t>Assumed repurchase price ($/share)</t>
  </si>
  <si>
    <t>WORKING CAPITAL &amp; BALANCE SHEET (% of revenue)</t>
  </si>
  <si>
    <t>Accounts receivable</t>
  </si>
  <si>
    <t>WC ratios held at FY2025 actual levels.</t>
  </si>
  <si>
    <t>Inventory</t>
  </si>
  <si>
    <t>Prepaid &amp; other current assets</t>
  </si>
  <si>
    <t>Accounts payable</t>
  </si>
  <si>
    <t>Accrued &amp; other current liabilities</t>
  </si>
  <si>
    <t>Unearned revenue (loyalty/gift cards)</t>
  </si>
  <si>
    <t>Current portion of lease liabilities</t>
  </si>
  <si>
    <t>Long-term lease liabilities</t>
  </si>
  <si>
    <t>Chipotle Mexican Grill: Consolidated Income Statement</t>
  </si>
  <si>
    <t>$ in millions except per share; FY2023-25 reported, FY2026E-30E projected</t>
  </si>
  <si>
    <t>Company-operated restaurants (EOP)</t>
  </si>
  <si>
    <t>Total revenue</t>
  </si>
  <si>
    <t xml:space="preserve">   % growth</t>
  </si>
  <si>
    <t xml:space="preserve">   Food, beverage &amp; packaging</t>
  </si>
  <si>
    <t xml:space="preserve">   Labor</t>
  </si>
  <si>
    <t xml:space="preserve">   Occupancy</t>
  </si>
  <si>
    <t xml:space="preserve">   Other operating costs</t>
  </si>
  <si>
    <t>Total restaurant operating costs</t>
  </si>
  <si>
    <t>Restaurant-level operating profit</t>
  </si>
  <si>
    <t xml:space="preserve">   Restaurant-level margin %</t>
  </si>
  <si>
    <t xml:space="preserve">   General &amp; administrative</t>
  </si>
  <si>
    <t xml:space="preserve">   Depreciation &amp; amortization</t>
  </si>
  <si>
    <t xml:space="preserve">   Pre-opening costs</t>
  </si>
  <si>
    <t xml:space="preserve">   Impairment, closure &amp; asset disposals</t>
  </si>
  <si>
    <t>Total operating expenses</t>
  </si>
  <si>
    <t>Income from operations (EBIT)</t>
  </si>
  <si>
    <t xml:space="preserve">   Operating margin %</t>
  </si>
  <si>
    <t>Interest &amp; other income, net</t>
  </si>
  <si>
    <t>Pretax income</t>
  </si>
  <si>
    <t>Income taxes</t>
  </si>
  <si>
    <t>Net income</t>
  </si>
  <si>
    <t xml:space="preserve">   Net margin %</t>
  </si>
  <si>
    <t>Diluted shares outstanding (mm)</t>
  </si>
  <si>
    <t>Diluted EPS</t>
  </si>
  <si>
    <t>Memo: EBITDA</t>
  </si>
  <si>
    <t>Chipotle Mexican Grill: Consolidated Balance Sheet</t>
  </si>
  <si>
    <t>$ in millions; FY2023-25 reported, FY2026E-30E projected</t>
  </si>
  <si>
    <t>Assets</t>
  </si>
  <si>
    <t>Cash &amp; cash equivalents</t>
  </si>
  <si>
    <t>Short-term investments</t>
  </si>
  <si>
    <t>Prepaid expenses &amp; other current assets</t>
  </si>
  <si>
    <t>Total current assets</t>
  </si>
  <si>
    <t>Property, equipment &amp; lease assets, net</t>
  </si>
  <si>
    <t>Long-term investments</t>
  </si>
  <si>
    <t>Goodwill &amp; intangible assets</t>
  </si>
  <si>
    <t>Other long-term assets</t>
  </si>
  <si>
    <t>Total assets</t>
  </si>
  <si>
    <t>Liabilities &amp; Equity</t>
  </si>
  <si>
    <t>Unearned revenue</t>
  </si>
  <si>
    <t>Total current liabilities</t>
  </si>
  <si>
    <t>Other long-term liabilities</t>
  </si>
  <si>
    <t>Total liabilities</t>
  </si>
  <si>
    <t>Total shareholders' equity</t>
  </si>
  <si>
    <t>Total liabilities &amp; equity</t>
  </si>
  <si>
    <t>Balance check (Assets − L&amp;E)</t>
  </si>
  <si>
    <t>Memo: Net cash (ex-leases) = cash + investments</t>
  </si>
  <si>
    <t>Chipotle Mexican Grill: Cash Flow Statement (projected)</t>
  </si>
  <si>
    <t>$ in millions; FY2026E-30E. Built to articulate with the income statement &amp; balance sheet.</t>
  </si>
  <si>
    <t>Stock-based compensation</t>
  </si>
  <si>
    <t xml:space="preserve">   Δ Accounts receivable</t>
  </si>
  <si>
    <t xml:space="preserve">   Δ Inventory</t>
  </si>
  <si>
    <t xml:space="preserve">   Δ Prepaid &amp; other CA</t>
  </si>
  <si>
    <t xml:space="preserve">   Δ Accounts payable</t>
  </si>
  <si>
    <t xml:space="preserve">   Δ Accrued &amp; other CL</t>
  </si>
  <si>
    <t xml:space="preserve">   Δ Unearned revenue</t>
  </si>
  <si>
    <t>Cash from operations</t>
  </si>
  <si>
    <t>Capital expenditures</t>
  </si>
  <si>
    <t>Cash from investing</t>
  </si>
  <si>
    <t>Share repurchases</t>
  </si>
  <si>
    <t>Cash from financing</t>
  </si>
  <si>
    <t>Net change in cash</t>
  </si>
  <si>
    <t>Beginning cash</t>
  </si>
  <si>
    <t>Ending cash</t>
  </si>
  <si>
    <t>Memo: Free cash flow (CFO − capex)</t>
  </si>
  <si>
    <t>Memo: Buyback $ (positive)</t>
  </si>
  <si>
    <t>SHARE COUNT SCHEDULE (mm)</t>
  </si>
  <si>
    <t>Diluted shares, beginning</t>
  </si>
  <si>
    <t xml:space="preserve">   Shares repurchased</t>
  </si>
  <si>
    <t>Diluted shares, ending</t>
  </si>
  <si>
    <t>Chipotle Mexican Grill: Discounted Cash Flow</t>
  </si>
  <si>
    <t>$ in millions except per share. Leases treated as operating (excluded from net debt &amp; FCF).</t>
  </si>
  <si>
    <t>WACC BUILD</t>
  </si>
  <si>
    <t xml:space="preserve">   Risk-free rate (10Y UST, Jun 2026)</t>
  </si>
  <si>
    <t xml:space="preserve">   Equity risk premium</t>
  </si>
  <si>
    <t xml:space="preserve">   Beta (5Y)</t>
  </si>
  <si>
    <t xml:space="preserve">   Cost of equity</t>
  </si>
  <si>
    <t xml:space="preserve">   Pre-tax cost of debt</t>
  </si>
  <si>
    <t xml:space="preserve">   Tax rate</t>
  </si>
  <si>
    <t xml:space="preserve">   After-tax cost of debt</t>
  </si>
  <si>
    <t xml:space="preserve">   Equity weight</t>
  </si>
  <si>
    <t xml:space="preserve">   Debt weight</t>
  </si>
  <si>
    <t xml:space="preserve">   WACC</t>
  </si>
  <si>
    <t>UNLEVERED FREE CASH FLOW</t>
  </si>
  <si>
    <t>EBIT</t>
  </si>
  <si>
    <t>Less: taxes on EBIT</t>
  </si>
  <si>
    <t>NOPAT</t>
  </si>
  <si>
    <t>Plus: D&amp;A</t>
  </si>
  <si>
    <t>Less: capital expenditures</t>
  </si>
  <si>
    <t>Less: change in net working capital</t>
  </si>
  <si>
    <t>Unlevered free cash flow</t>
  </si>
  <si>
    <t>Discount period (mid-year)</t>
  </si>
  <si>
    <t>Discount factor</t>
  </si>
  <si>
    <t>PV of free cash flow</t>
  </si>
  <si>
    <t>Sum PV of FCF (FY26-30)</t>
  </si>
  <si>
    <t>TERMINAL VALUE: Gordon growth</t>
  </si>
  <si>
    <t>Terminal growth rate</t>
  </si>
  <si>
    <t>Terminal-year FCF (FY2030 × (1+g))</t>
  </si>
  <si>
    <t>Terminal value</t>
  </si>
  <si>
    <t>PV of terminal value</t>
  </si>
  <si>
    <t>Enterprise value (Gordon)</t>
  </si>
  <si>
    <t>TERMINAL VALUE: Exit multiple</t>
  </si>
  <si>
    <t>Exit EV/EBITDA multiple</t>
  </si>
  <si>
    <t>Terminal EBITDA (FY2030)</t>
  </si>
  <si>
    <t>Terminal value (exit)</t>
  </si>
  <si>
    <t>PV of terminal value (exit)</t>
  </si>
  <si>
    <t>Enterprise value (exit)</t>
  </si>
  <si>
    <t>EQUITY VALUE &amp; PRICE</t>
  </si>
  <si>
    <t>Plus: net cash (ex-leases, FY2025)</t>
  </si>
  <si>
    <t>Diluted shares (mm)</t>
  </si>
  <si>
    <t>Current share price</t>
  </si>
  <si>
    <t>Implied equity value (Gordon)</t>
  </si>
  <si>
    <t>Implied share price (Gordon)</t>
  </si>
  <si>
    <t>Implied equity value (exit)</t>
  </si>
  <si>
    <t>Implied share price (exit)</t>
  </si>
  <si>
    <t>Average implied price</t>
  </si>
  <si>
    <t>Upside / (downside) vs current</t>
  </si>
  <si>
    <t>SENSITIVITY: implied price, WACC (rows) vs terminal growth (cols)</t>
  </si>
  <si>
    <t>WACC\g</t>
  </si>
  <si>
    <t>SENSITIVITY: implied price, WACC (rows) vs exit EV/EBITDA (cols)</t>
  </si>
  <si>
    <t>WACC\x</t>
  </si>
  <si>
    <t>Comparable Companies: Fast-Casual / Restaurant Growth</t>
  </si>
  <si>
    <t>Market data ≈ Jun 2026 (stockanalysis.com / S&amp;P Global). LTM figures. $ in millions.</t>
  </si>
  <si>
    <t>Company</t>
  </si>
  <si>
    <t>Ticker</t>
  </si>
  <si>
    <t>Price</t>
  </si>
  <si>
    <t>Mkt cap</t>
  </si>
  <si>
    <t>EV</t>
  </si>
  <si>
    <t>EBITDA(LTM)</t>
  </si>
  <si>
    <t>EV/EBITDA</t>
  </si>
  <si>
    <t>EPS(LTM)</t>
  </si>
  <si>
    <t>P/E</t>
  </si>
  <si>
    <t>Fwd P/E</t>
  </si>
  <si>
    <t>Rev gr 3Y</t>
  </si>
  <si>
    <t>Chipotle (target)</t>
  </si>
  <si>
    <t>CMG</t>
  </si>
  <si>
    <t>CAVA Group</t>
  </si>
  <si>
    <t>CAVA</t>
  </si>
  <si>
    <t>Wingstop</t>
  </si>
  <si>
    <t>WING</t>
  </si>
  <si>
    <t>Shake Shack</t>
  </si>
  <si>
    <t>SHAK</t>
  </si>
  <si>
    <t>n/a</t>
  </si>
  <si>
    <t>Texas Roadhouse</t>
  </si>
  <si>
    <t>TXRH</t>
  </si>
  <si>
    <t>Sweetgreen</t>
  </si>
  <si>
    <t>SG</t>
  </si>
  <si>
    <t>Peer median (ex-CMG)</t>
  </si>
  <si>
    <t>Peer mean (ex-CMG, ex-CAVA)</t>
  </si>
  <si>
    <t>IMPLIED VALUATION (EV/EBITDA method)</t>
  </si>
  <si>
    <t>CMG EBITDA, LTM (FY2025)</t>
  </si>
  <si>
    <t>Applied multiple (peer median)</t>
  </si>
  <si>
    <t>Implied enterprise value</t>
  </si>
  <si>
    <t>Plus: net cash (ex-leases)</t>
  </si>
  <si>
    <t>Implied equity value</t>
  </si>
  <si>
    <t>Implied price per share</t>
  </si>
  <si>
    <t>Current price</t>
  </si>
  <si>
    <t>Upside / (downside)</t>
  </si>
  <si>
    <t>Cross-check: P/E method</t>
  </si>
  <si>
    <t>CMG FY2026E EPS</t>
  </si>
  <si>
    <t>Applied fwd P/E (peer median)</t>
  </si>
  <si>
    <t>CAVA trades at ~72x EV/EBITDA (high-growth outlier); median used to avoid distortion.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</si>
</sst>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$#,##0.00"/>
    <numFmt numFmtId="165" formatCode="0.0%;\(0.0%\);\-"/>
    <numFmt numFmtId="166" formatCode="#,##0.0;\(#,##0.0\);\-"/>
    <numFmt numFmtId="167" formatCode="0.0"/>
    <numFmt numFmtId="168" formatCode="0.000"/>
    <numFmt numFmtId="169" formatCode="0.0\x"/>
    <numFmt numFmtId="170" formatCode="#,##0;\(#,##0\);\-"/>
  </numFmts>
  <fonts count="13" x14ac:knownFonts="1">
    <font>
      <sz val="11"/>
      <color theme="1"/>
      <name val="Calibri"/>
      <family val="2"/>
      <charset val="1"/>
    </font>
    <font>
      <b/>
      <sz val="16"/>
      <color rgb="FF000000"/>
      <name val="Arial"/>
      <charset val="1"/>
    </font>
    <font>
      <i/>
      <sz val="10"/>
      <color rgb="FF000000"/>
      <name val="Arial"/>
      <charset val="1"/>
    </font>
    <font>
      <b/>
      <sz val="12"/>
      <color rgb="FF000000"/>
      <name val="Arial"/>
      <charset val="1"/>
    </font>
    <font>
      <sz val="11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i/>
      <sz val="9"/>
      <color rgb="FF000000"/>
      <name val="Arial"/>
      <charset val="1"/>
    </font>
    <font>
      <b/>
      <i/>
      <sz val="9"/>
      <color rgb="FF000000"/>
      <name val="Arial"/>
      <charset val="1"/>
    </font>
    <font>
      <sz val="10"/>
      <name val="Arial"/>
      <family val="2"/>
    </font>
    <font>
      <b/>
      <i/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3" fontId="7" fillId="0" borderId="0" xfId="0" applyNumberFormat="1" applyFont="1"/>
    <xf numFmtId="165" fontId="9" fillId="0" borderId="0" xfId="0" applyNumberFormat="1" applyFont="1"/>
    <xf numFmtId="166" fontId="7" fillId="0" borderId="0" xfId="0" applyNumberFormat="1" applyFont="1"/>
    <xf numFmtId="165" fontId="7" fillId="0" borderId="0" xfId="0" applyNumberFormat="1" applyFont="1"/>
    <xf numFmtId="165" fontId="10" fillId="0" borderId="0" xfId="0" applyNumberFormat="1" applyFont="1"/>
    <xf numFmtId="164" fontId="7" fillId="0" borderId="0" xfId="0" applyNumberFormat="1" applyFont="1"/>
    <xf numFmtId="166" fontId="5" fillId="0" borderId="0" xfId="0" applyNumberFormat="1" applyFont="1"/>
    <xf numFmtId="166" fontId="5" fillId="0" borderId="2" xfId="0" applyNumberFormat="1" applyFont="1" applyBorder="1"/>
    <xf numFmtId="166" fontId="2" fillId="0" borderId="0" xfId="0" applyNumberFormat="1" applyFont="1"/>
    <xf numFmtId="0" fontId="12" fillId="0" borderId="0" xfId="0" applyFont="1"/>
    <xf numFmtId="3" fontId="5" fillId="0" borderId="0" xfId="0" applyNumberFormat="1" applyFont="1"/>
    <xf numFmtId="2" fontId="7" fillId="0" borderId="0" xfId="0" applyNumberFormat="1" applyFont="1"/>
    <xf numFmtId="0" fontId="5" fillId="0" borderId="0" xfId="0" applyFont="1" applyAlignment="1">
      <alignment horizontal="center" vertical="center"/>
    </xf>
    <xf numFmtId="167" fontId="7" fillId="0" borderId="0" xfId="0" applyNumberFormat="1" applyFont="1"/>
    <xf numFmtId="168" fontId="7" fillId="0" borderId="0" xfId="0" applyNumberFormat="1" applyFont="1"/>
    <xf numFmtId="169" fontId="7" fillId="0" borderId="0" xfId="0" applyNumberFormat="1" applyFont="1"/>
    <xf numFmtId="165" fontId="5" fillId="0" borderId="0" xfId="0" applyNumberFormat="1" applyFont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right" vertical="center"/>
    </xf>
    <xf numFmtId="170" fontId="7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center" vertical="center"/>
    </xf>
    <xf numFmtId="169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2"/>
  <sheetViews>
    <sheetView topLeftCell="A29" zoomScaleNormal="100" workbookViewId="0">
      <selection activeCell="B43" sqref="B43"/>
    </sheetView>
  </sheetViews>
  <sheetFormatPr baseColWidth="10" defaultColWidth="8.6640625" defaultRowHeight="15" x14ac:dyDescent="0.2"/>
  <cols>
    <col min="1" max="1" width="3" customWidth="1"/>
    <col min="2" max="2" width="104" customWidth="1"/>
    <col min="4" max="4" width="12" customWidth="1"/>
  </cols>
  <sheetData>
    <row r="1" spans="2:4" ht="20" x14ac:dyDescent="0.2">
      <c r="B1" s="1" t="s">
        <v>0</v>
      </c>
    </row>
    <row r="3" spans="2:4" ht="17" x14ac:dyDescent="0.2">
      <c r="B3" s="3" t="s">
        <v>1</v>
      </c>
    </row>
    <row r="4" spans="2:4" ht="45" x14ac:dyDescent="0.2">
      <c r="B4" s="4" t="s">
        <v>2</v>
      </c>
    </row>
    <row r="6" spans="2:4" ht="17" x14ac:dyDescent="0.2">
      <c r="B6" s="3" t="s">
        <v>3</v>
      </c>
    </row>
    <row r="7" spans="2:4" x14ac:dyDescent="0.2">
      <c r="B7" s="4" t="s">
        <v>4</v>
      </c>
    </row>
    <row r="8" spans="2:4" x14ac:dyDescent="0.2">
      <c r="B8" s="4" t="s">
        <v>5</v>
      </c>
    </row>
    <row r="9" spans="2:4" ht="30" x14ac:dyDescent="0.2">
      <c r="B9" s="4" t="s">
        <v>6</v>
      </c>
    </row>
    <row r="10" spans="2:4" ht="30" x14ac:dyDescent="0.2">
      <c r="B10" s="4" t="s">
        <v>7</v>
      </c>
    </row>
    <row r="12" spans="2:4" ht="17" x14ac:dyDescent="0.2">
      <c r="B12" s="3" t="s">
        <v>8</v>
      </c>
    </row>
    <row r="13" spans="2:4" x14ac:dyDescent="0.2">
      <c r="B13" s="4" t="s">
        <v>9</v>
      </c>
    </row>
    <row r="15" spans="2:4" ht="17" x14ac:dyDescent="0.2">
      <c r="B15" s="3" t="s">
        <v>10</v>
      </c>
    </row>
    <row r="16" spans="2:4" x14ac:dyDescent="0.2">
      <c r="B16" s="5" t="s">
        <v>11</v>
      </c>
      <c r="D16" s="6">
        <f>DCF!C44</f>
        <v>30.54</v>
      </c>
    </row>
    <row r="17" spans="2:4" x14ac:dyDescent="0.2">
      <c r="B17" s="5" t="s">
        <v>12</v>
      </c>
      <c r="D17" s="6">
        <f>DCF!C49</f>
        <v>35.578413468955148</v>
      </c>
    </row>
    <row r="18" spans="2:4" x14ac:dyDescent="0.2">
      <c r="B18" s="5" t="s">
        <v>13</v>
      </c>
      <c r="D18" s="7">
        <f>DCF!C50</f>
        <v>0.16497752026703183</v>
      </c>
    </row>
    <row r="19" spans="2:4" x14ac:dyDescent="0.2">
      <c r="B19" s="5" t="s">
        <v>14</v>
      </c>
      <c r="D19" s="6">
        <f>Comps!C22</f>
        <v>39.559453125000019</v>
      </c>
    </row>
    <row r="20" spans="2:4" x14ac:dyDescent="0.2">
      <c r="B20" s="8" t="s">
        <v>15</v>
      </c>
      <c r="D20" s="6">
        <f>AVERAGE(DCF!C49,Comps!C22)</f>
        <v>37.568933296977583</v>
      </c>
    </row>
    <row r="21" spans="2:4" x14ac:dyDescent="0.2">
      <c r="B21" s="8" t="s">
        <v>16</v>
      </c>
      <c r="D21" s="7">
        <f>D20/DCF!C44-1</f>
        <v>0.23015498680345714</v>
      </c>
    </row>
    <row r="23" spans="2:4" ht="17" x14ac:dyDescent="0.2">
      <c r="B23" s="3" t="s">
        <v>17</v>
      </c>
    </row>
    <row r="24" spans="2:4" ht="30" x14ac:dyDescent="0.2">
      <c r="B24" s="4" t="s">
        <v>18</v>
      </c>
    </row>
    <row r="25" spans="2:4" ht="30" x14ac:dyDescent="0.2">
      <c r="B25" s="4" t="s">
        <v>19</v>
      </c>
    </row>
    <row r="26" spans="2:4" x14ac:dyDescent="0.2">
      <c r="B26" s="4" t="s">
        <v>20</v>
      </c>
    </row>
    <row r="27" spans="2:4" ht="30" x14ac:dyDescent="0.2">
      <c r="B27" s="4" t="s">
        <v>21</v>
      </c>
    </row>
    <row r="29" spans="2:4" ht="17" x14ac:dyDescent="0.2">
      <c r="B29" s="3" t="s">
        <v>22</v>
      </c>
    </row>
    <row r="30" spans="2:4" ht="45" x14ac:dyDescent="0.2">
      <c r="B30" s="4" t="s">
        <v>23</v>
      </c>
    </row>
    <row r="31" spans="2:4" ht="30" x14ac:dyDescent="0.2">
      <c r="B31" s="4" t="s">
        <v>24</v>
      </c>
    </row>
    <row r="32" spans="2:4" ht="45" x14ac:dyDescent="0.2">
      <c r="B32" s="4" t="s">
        <v>25</v>
      </c>
    </row>
    <row r="33" spans="2:2" ht="30" x14ac:dyDescent="0.2">
      <c r="B33" s="4" t="s">
        <v>26</v>
      </c>
    </row>
    <row r="35" spans="2:2" ht="17" x14ac:dyDescent="0.2">
      <c r="B35" s="3" t="s">
        <v>27</v>
      </c>
    </row>
    <row r="36" spans="2:2" ht="28" x14ac:dyDescent="0.2">
      <c r="B36" s="9" t="s">
        <v>28</v>
      </c>
    </row>
    <row r="37" spans="2:2" x14ac:dyDescent="0.2">
      <c r="B37" s="9" t="s">
        <v>29</v>
      </c>
    </row>
    <row r="38" spans="2:2" ht="28" x14ac:dyDescent="0.2">
      <c r="B38" s="9" t="s">
        <v>30</v>
      </c>
    </row>
    <row r="39" spans="2:2" x14ac:dyDescent="0.2">
      <c r="B39" s="9" t="s">
        <v>31</v>
      </c>
    </row>
    <row r="41" spans="2:2" ht="16" x14ac:dyDescent="0.2">
      <c r="B41" s="3"/>
    </row>
    <row r="42" spans="2:2" x14ac:dyDescent="0.2">
      <c r="B42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2" sqref="A2"/>
    </sheetView>
  </sheetViews>
  <sheetFormatPr baseColWidth="10" defaultColWidth="8.6640625" defaultRowHeight="15" x14ac:dyDescent="0.2"/>
  <cols>
    <col min="1" max="1" width="46" customWidth="1"/>
    <col min="2" max="2" width="2" customWidth="1"/>
    <col min="3" max="10" width="11.5" customWidth="1"/>
    <col min="12" max="12" width="40" customWidth="1"/>
  </cols>
  <sheetData>
    <row r="1" spans="1:10" ht="18" x14ac:dyDescent="0.2">
      <c r="A1" s="11" t="s">
        <v>32</v>
      </c>
    </row>
    <row r="2" spans="1:10" x14ac:dyDescent="0.2">
      <c r="A2" s="12" t="s">
        <v>33</v>
      </c>
    </row>
    <row r="4" spans="1:10" x14ac:dyDescent="0.2">
      <c r="A4" s="13" t="s">
        <v>34</v>
      </c>
      <c r="C4" s="14" t="s">
        <v>35</v>
      </c>
      <c r="D4" s="14" t="s">
        <v>36</v>
      </c>
      <c r="E4" s="14" t="s">
        <v>37</v>
      </c>
      <c r="F4" s="14" t="s">
        <v>38</v>
      </c>
      <c r="G4" s="14" t="s">
        <v>39</v>
      </c>
      <c r="H4" s="14" t="s">
        <v>40</v>
      </c>
      <c r="I4" s="14" t="s">
        <v>41</v>
      </c>
      <c r="J4" s="14" t="s">
        <v>42</v>
      </c>
    </row>
    <row r="5" spans="1:10" x14ac:dyDescent="0.2">
      <c r="A5" s="13" t="s">
        <v>43</v>
      </c>
    </row>
    <row r="6" spans="1:10" x14ac:dyDescent="0.2">
      <c r="A6" s="15" t="s">
        <v>44</v>
      </c>
      <c r="C6" s="16">
        <v>3437</v>
      </c>
      <c r="D6" s="16">
        <v>3726</v>
      </c>
      <c r="E6" s="16">
        <v>4042</v>
      </c>
      <c r="F6" s="16">
        <f>E6+F7</f>
        <v>4362</v>
      </c>
      <c r="G6" s="16">
        <f>F6+G7</f>
        <v>4707</v>
      </c>
      <c r="H6" s="16">
        <f>G6+H7</f>
        <v>5077</v>
      </c>
      <c r="I6" s="16">
        <f>H6+I7</f>
        <v>5467</v>
      </c>
      <c r="J6" s="16">
        <f>I6+J7</f>
        <v>5877</v>
      </c>
    </row>
    <row r="7" spans="1:10" x14ac:dyDescent="0.2">
      <c r="A7" s="15" t="s">
        <v>45</v>
      </c>
      <c r="D7" s="16">
        <f>D6-C6</f>
        <v>289</v>
      </c>
      <c r="E7" s="16">
        <f>E6-D6</f>
        <v>316</v>
      </c>
      <c r="F7" s="16">
        <v>320</v>
      </c>
      <c r="G7" s="16">
        <v>345</v>
      </c>
      <c r="H7" s="16">
        <v>370</v>
      </c>
      <c r="I7" s="16">
        <v>390</v>
      </c>
      <c r="J7" s="16">
        <v>410</v>
      </c>
    </row>
    <row r="8" spans="1:10" x14ac:dyDescent="0.2">
      <c r="A8" s="2" t="s">
        <v>46</v>
      </c>
      <c r="D8" s="17">
        <f t="shared" ref="D8:J8" si="0">D6/C6-1</f>
        <v>8.408495781204528E-2</v>
      </c>
      <c r="E8" s="17">
        <f t="shared" si="0"/>
        <v>8.4809447128287641E-2</v>
      </c>
      <c r="F8" s="17">
        <f t="shared" si="0"/>
        <v>7.9168728352300821E-2</v>
      </c>
      <c r="G8" s="17">
        <f t="shared" si="0"/>
        <v>7.909215955983484E-2</v>
      </c>
      <c r="H8" s="17">
        <f t="shared" si="0"/>
        <v>7.8606330996388252E-2</v>
      </c>
      <c r="I8" s="17">
        <f t="shared" si="0"/>
        <v>7.6817017923970887E-2</v>
      </c>
      <c r="J8" s="17">
        <f t="shared" si="0"/>
        <v>7.4995427108103252E-2</v>
      </c>
    </row>
    <row r="9" spans="1:10" x14ac:dyDescent="0.2">
      <c r="A9" s="15" t="s">
        <v>47</v>
      </c>
      <c r="D9" s="16">
        <f t="shared" ref="D9:J9" si="1">(C6+D6)/2</f>
        <v>3581.5</v>
      </c>
      <c r="E9" s="16">
        <f t="shared" si="1"/>
        <v>3884</v>
      </c>
      <c r="F9" s="16">
        <f t="shared" si="1"/>
        <v>4202</v>
      </c>
      <c r="G9" s="16">
        <f t="shared" si="1"/>
        <v>4534.5</v>
      </c>
      <c r="H9" s="16">
        <f t="shared" si="1"/>
        <v>4892</v>
      </c>
      <c r="I9" s="16">
        <f t="shared" si="1"/>
        <v>5272</v>
      </c>
      <c r="J9" s="16">
        <f t="shared" si="1"/>
        <v>5672</v>
      </c>
    </row>
    <row r="10" spans="1:10" x14ac:dyDescent="0.2">
      <c r="A10" s="15" t="s">
        <v>48</v>
      </c>
      <c r="D10" s="18">
        <f>'Income Statement'!D8/D9</f>
        <v>3.1589836660617059</v>
      </c>
      <c r="E10" s="18">
        <f>'Income Statement'!E8/E9</f>
        <v>3.0704428424304839</v>
      </c>
      <c r="F10" s="18">
        <f>E10*(1+F11)</f>
        <v>3.116499485066941</v>
      </c>
      <c r="G10" s="18">
        <f>F10*(1+G11)</f>
        <v>3.2255769670442835</v>
      </c>
      <c r="H10" s="18">
        <f>G10*(1+H11)</f>
        <v>3.338472160890833</v>
      </c>
      <c r="I10" s="18">
        <f>H10*(1+I11)</f>
        <v>3.438626325717558</v>
      </c>
      <c r="J10" s="18">
        <f>I10*(1+J11)</f>
        <v>3.5417851154890849</v>
      </c>
    </row>
    <row r="11" spans="1:10" x14ac:dyDescent="0.2">
      <c r="A11" s="15" t="s">
        <v>49</v>
      </c>
      <c r="C11" s="19">
        <v>7.9000000000000001E-2</v>
      </c>
      <c r="D11" s="19">
        <v>7.3999999999999996E-2</v>
      </c>
      <c r="E11" s="19">
        <v>-1.7000000000000001E-2</v>
      </c>
      <c r="F11" s="19">
        <v>1.4999999999999999E-2</v>
      </c>
      <c r="G11" s="19">
        <v>3.5000000000000003E-2</v>
      </c>
      <c r="H11" s="19">
        <v>3.5000000000000003E-2</v>
      </c>
      <c r="I11" s="19">
        <v>0.03</v>
      </c>
      <c r="J11" s="19">
        <v>0.03</v>
      </c>
    </row>
    <row r="13" spans="1:10" x14ac:dyDescent="0.2">
      <c r="A13" s="13" t="s">
        <v>50</v>
      </c>
    </row>
    <row r="14" spans="1:10" x14ac:dyDescent="0.2">
      <c r="A14" s="15" t="s">
        <v>51</v>
      </c>
      <c r="C14" s="19">
        <v>0.29499999999999998</v>
      </c>
      <c r="D14" s="19">
        <v>0.29799999999999999</v>
      </c>
      <c r="E14" s="19">
        <v>0.29599999999999999</v>
      </c>
      <c r="F14" s="19">
        <v>0.29599999999999999</v>
      </c>
      <c r="G14" s="19">
        <v>0.29599999999999999</v>
      </c>
      <c r="H14" s="19">
        <v>0.29499999999999998</v>
      </c>
      <c r="I14" s="19">
        <v>0.29499999999999998</v>
      </c>
      <c r="J14" s="19">
        <v>0.29499999999999998</v>
      </c>
    </row>
    <row r="15" spans="1:10" x14ac:dyDescent="0.2">
      <c r="A15" s="15" t="s">
        <v>52</v>
      </c>
      <c r="C15" s="19">
        <v>0.247</v>
      </c>
      <c r="D15" s="19">
        <v>0.247</v>
      </c>
      <c r="E15" s="19">
        <v>0.251</v>
      </c>
      <c r="F15" s="19">
        <v>0.25</v>
      </c>
      <c r="G15" s="19">
        <v>0.247</v>
      </c>
      <c r="H15" s="19">
        <v>0.245</v>
      </c>
      <c r="I15" s="19">
        <v>0.24399999999999999</v>
      </c>
      <c r="J15" s="19">
        <v>0.24299999999999999</v>
      </c>
    </row>
    <row r="16" spans="1:10" x14ac:dyDescent="0.2">
      <c r="A16" s="15" t="s">
        <v>53</v>
      </c>
      <c r="C16" s="19">
        <v>5.2999999999999999E-2</v>
      </c>
      <c r="D16" s="19">
        <v>0.05</v>
      </c>
      <c r="E16" s="19">
        <v>5.1999999999999998E-2</v>
      </c>
      <c r="F16" s="19">
        <v>5.1999999999999998E-2</v>
      </c>
      <c r="G16" s="19">
        <v>5.0999999999999997E-2</v>
      </c>
      <c r="H16" s="19">
        <v>5.0999999999999997E-2</v>
      </c>
      <c r="I16" s="19">
        <v>0.05</v>
      </c>
      <c r="J16" s="19">
        <v>0.05</v>
      </c>
    </row>
    <row r="17" spans="1:10" x14ac:dyDescent="0.2">
      <c r="A17" s="15" t="s">
        <v>54</v>
      </c>
      <c r="C17" s="19">
        <v>0.14299999999999999</v>
      </c>
      <c r="D17" s="19">
        <v>0.13900000000000001</v>
      </c>
      <c r="E17" s="19">
        <v>0.14699999999999999</v>
      </c>
      <c r="F17" s="19">
        <v>0.14499999999999999</v>
      </c>
      <c r="G17" s="19">
        <v>0.14399999999999999</v>
      </c>
      <c r="H17" s="19">
        <v>0.14299999999999999</v>
      </c>
      <c r="I17" s="19">
        <v>0.14299999999999999</v>
      </c>
      <c r="J17" s="19">
        <v>0.14199999999999999</v>
      </c>
    </row>
    <row r="18" spans="1:10" x14ac:dyDescent="0.2">
      <c r="A18" s="2" t="s">
        <v>55</v>
      </c>
      <c r="C18" s="20">
        <f t="shared" ref="C18:J18" si="2">1-C14-C15-C16-C17</f>
        <v>0.26200000000000012</v>
      </c>
      <c r="D18" s="20">
        <f t="shared" si="2"/>
        <v>0.26599999999999996</v>
      </c>
      <c r="E18" s="20">
        <f t="shared" si="2"/>
        <v>0.254</v>
      </c>
      <c r="F18" s="20">
        <f t="shared" si="2"/>
        <v>0.25700000000000001</v>
      </c>
      <c r="G18" s="20">
        <f t="shared" si="2"/>
        <v>0.26200000000000001</v>
      </c>
      <c r="H18" s="20">
        <f t="shared" si="2"/>
        <v>0.26600000000000013</v>
      </c>
      <c r="I18" s="20">
        <f t="shared" si="2"/>
        <v>0.26800000000000013</v>
      </c>
      <c r="J18" s="20">
        <f t="shared" si="2"/>
        <v>0.27000000000000013</v>
      </c>
    </row>
    <row r="19" spans="1:10" x14ac:dyDescent="0.2">
      <c r="A19" s="15" t="s">
        <v>56</v>
      </c>
      <c r="C19" s="19">
        <v>6.4000000000000001E-2</v>
      </c>
      <c r="D19" s="19">
        <v>6.2E-2</v>
      </c>
      <c r="E19" s="19">
        <v>5.5E-2</v>
      </c>
      <c r="F19" s="19">
        <v>5.3999999999999999E-2</v>
      </c>
      <c r="G19" s="19">
        <v>5.2999999999999999E-2</v>
      </c>
      <c r="H19" s="19">
        <v>5.1999999999999998E-2</v>
      </c>
      <c r="I19" s="19">
        <v>5.0999999999999997E-2</v>
      </c>
      <c r="J19" s="19">
        <v>5.0999999999999997E-2</v>
      </c>
    </row>
    <row r="20" spans="1:10" x14ac:dyDescent="0.2">
      <c r="A20" s="15" t="s">
        <v>57</v>
      </c>
      <c r="C20" s="19">
        <v>3.2000000000000001E-2</v>
      </c>
      <c r="D20" s="19">
        <v>0.03</v>
      </c>
      <c r="E20" s="19">
        <v>0.03</v>
      </c>
      <c r="F20" s="19">
        <v>3.1E-2</v>
      </c>
      <c r="G20" s="19">
        <v>3.1E-2</v>
      </c>
      <c r="H20" s="19">
        <v>3.1E-2</v>
      </c>
      <c r="I20" s="19">
        <v>3.1E-2</v>
      </c>
      <c r="J20" s="19">
        <v>3.1E-2</v>
      </c>
    </row>
    <row r="21" spans="1:10" x14ac:dyDescent="0.2">
      <c r="A21" s="15" t="s">
        <v>58</v>
      </c>
      <c r="C21" s="19">
        <v>5.0000000000000001E-3</v>
      </c>
      <c r="D21" s="19">
        <v>4.0000000000000001E-3</v>
      </c>
      <c r="E21" s="19">
        <v>4.0000000000000001E-3</v>
      </c>
      <c r="F21" s="19">
        <v>4.0000000000000001E-3</v>
      </c>
      <c r="G21" s="19">
        <v>4.0000000000000001E-3</v>
      </c>
      <c r="H21" s="19">
        <v>4.0000000000000001E-3</v>
      </c>
      <c r="I21" s="19">
        <v>4.0000000000000001E-3</v>
      </c>
      <c r="J21" s="19">
        <v>4.0000000000000001E-3</v>
      </c>
    </row>
    <row r="22" spans="1:10" x14ac:dyDescent="0.2">
      <c r="A22" s="15" t="s">
        <v>59</v>
      </c>
      <c r="C22" s="19">
        <v>3.0000000000000001E-3</v>
      </c>
      <c r="D22" s="19">
        <v>2E-3</v>
      </c>
      <c r="E22" s="19">
        <v>2E-3</v>
      </c>
      <c r="F22" s="19">
        <v>2E-3</v>
      </c>
      <c r="G22" s="19">
        <v>2E-3</v>
      </c>
      <c r="H22" s="19">
        <v>2E-3</v>
      </c>
      <c r="I22" s="19">
        <v>2E-3</v>
      </c>
      <c r="J22" s="19">
        <v>2E-3</v>
      </c>
    </row>
    <row r="23" spans="1:10" x14ac:dyDescent="0.2">
      <c r="A23" s="2" t="s">
        <v>60</v>
      </c>
      <c r="C23" s="20">
        <f t="shared" ref="C23:J23" si="3">C18-C19-C20-C21-C22</f>
        <v>0.15800000000000011</v>
      </c>
      <c r="D23" s="20">
        <f t="shared" si="3"/>
        <v>0.16799999999999995</v>
      </c>
      <c r="E23" s="20">
        <f t="shared" si="3"/>
        <v>0.16300000000000001</v>
      </c>
      <c r="F23" s="20">
        <f t="shared" si="3"/>
        <v>0.16600000000000001</v>
      </c>
      <c r="G23" s="20">
        <f t="shared" si="3"/>
        <v>0.17200000000000001</v>
      </c>
      <c r="H23" s="20">
        <f t="shared" si="3"/>
        <v>0.17700000000000013</v>
      </c>
      <c r="I23" s="20">
        <f t="shared" si="3"/>
        <v>0.18000000000000013</v>
      </c>
      <c r="J23" s="20">
        <f t="shared" si="3"/>
        <v>0.18200000000000013</v>
      </c>
    </row>
    <row r="25" spans="1:10" x14ac:dyDescent="0.2">
      <c r="A25" s="13" t="s">
        <v>61</v>
      </c>
    </row>
    <row r="26" spans="1:10" x14ac:dyDescent="0.2">
      <c r="A26" s="15" t="s">
        <v>62</v>
      </c>
      <c r="F26" s="19">
        <v>3.5000000000000003E-2</v>
      </c>
      <c r="G26" s="19">
        <v>3.5000000000000003E-2</v>
      </c>
      <c r="H26" s="19">
        <v>3.5000000000000003E-2</v>
      </c>
      <c r="I26" s="19">
        <v>3.5000000000000003E-2</v>
      </c>
      <c r="J26" s="19">
        <v>3.5000000000000003E-2</v>
      </c>
    </row>
    <row r="27" spans="1:10" x14ac:dyDescent="0.2">
      <c r="A27" s="15" t="s">
        <v>63</v>
      </c>
      <c r="C27" s="19">
        <v>0.24199999999999999</v>
      </c>
      <c r="D27" s="19">
        <v>0.23699999999999999</v>
      </c>
      <c r="E27" s="19">
        <v>0.23599999999999999</v>
      </c>
      <c r="F27" s="19">
        <v>0.24</v>
      </c>
      <c r="G27" s="19">
        <v>0.24</v>
      </c>
      <c r="H27" s="19">
        <v>0.24</v>
      </c>
      <c r="I27" s="19">
        <v>0.24</v>
      </c>
      <c r="J27" s="19">
        <v>0.24</v>
      </c>
    </row>
    <row r="28" spans="1:10" x14ac:dyDescent="0.2">
      <c r="A28" s="15" t="s">
        <v>64</v>
      </c>
      <c r="C28" s="19">
        <v>5.6800000000000003E-2</v>
      </c>
      <c r="D28" s="19">
        <v>5.2499999999999998E-2</v>
      </c>
      <c r="E28" s="19">
        <v>5.5899999999999998E-2</v>
      </c>
      <c r="F28" s="19">
        <v>5.6000000000000001E-2</v>
      </c>
      <c r="G28" s="19">
        <v>5.6000000000000001E-2</v>
      </c>
      <c r="H28" s="19">
        <v>5.5E-2</v>
      </c>
      <c r="I28" s="19">
        <v>5.5E-2</v>
      </c>
      <c r="J28" s="19">
        <v>5.3999999999999999E-2</v>
      </c>
    </row>
    <row r="29" spans="1:10" x14ac:dyDescent="0.2">
      <c r="A29" s="15" t="s">
        <v>65</v>
      </c>
      <c r="C29" s="18">
        <v>124</v>
      </c>
      <c r="D29" s="18">
        <v>131.69999999999999</v>
      </c>
      <c r="E29" s="18">
        <v>119.5</v>
      </c>
      <c r="F29" s="18">
        <v>120</v>
      </c>
      <c r="G29" s="18">
        <v>125</v>
      </c>
      <c r="H29" s="18">
        <v>130</v>
      </c>
      <c r="I29" s="18">
        <v>135</v>
      </c>
      <c r="J29" s="18">
        <v>140</v>
      </c>
    </row>
    <row r="30" spans="1:10" x14ac:dyDescent="0.2">
      <c r="A30" s="15" t="s">
        <v>66</v>
      </c>
      <c r="F30" s="19">
        <v>0.8</v>
      </c>
      <c r="G30" s="19">
        <v>0.8</v>
      </c>
      <c r="H30" s="19">
        <v>0.8</v>
      </c>
      <c r="I30" s="19">
        <v>0.8</v>
      </c>
      <c r="J30" s="19">
        <v>0.8</v>
      </c>
    </row>
    <row r="31" spans="1:10" x14ac:dyDescent="0.2">
      <c r="A31" s="15" t="s">
        <v>67</v>
      </c>
      <c r="F31" s="21">
        <v>30.54</v>
      </c>
      <c r="G31" s="21">
        <v>30.54</v>
      </c>
      <c r="H31" s="21">
        <v>30.54</v>
      </c>
      <c r="I31" s="21">
        <v>30.54</v>
      </c>
      <c r="J31" s="21">
        <v>30.54</v>
      </c>
    </row>
    <row r="33" spans="1:12" x14ac:dyDescent="0.2">
      <c r="A33" s="13" t="s">
        <v>68</v>
      </c>
    </row>
    <row r="34" spans="1:12" x14ac:dyDescent="0.2">
      <c r="A34" s="15" t="s">
        <v>69</v>
      </c>
      <c r="F34" s="19">
        <v>1.3100000000000001E-2</v>
      </c>
      <c r="G34" s="19">
        <v>1.3100000000000001E-2</v>
      </c>
      <c r="H34" s="19">
        <v>1.3100000000000001E-2</v>
      </c>
      <c r="I34" s="19">
        <v>1.3100000000000001E-2</v>
      </c>
      <c r="J34" s="19">
        <v>1.3100000000000001E-2</v>
      </c>
      <c r="L34" s="12" t="s">
        <v>70</v>
      </c>
    </row>
    <row r="35" spans="1:12" x14ac:dyDescent="0.2">
      <c r="A35" s="15" t="s">
        <v>71</v>
      </c>
      <c r="F35" s="19">
        <v>4.15E-3</v>
      </c>
      <c r="G35" s="19">
        <v>4.15E-3</v>
      </c>
      <c r="H35" s="19">
        <v>4.15E-3</v>
      </c>
      <c r="I35" s="19">
        <v>4.15E-3</v>
      </c>
      <c r="J35" s="19">
        <v>4.15E-3</v>
      </c>
    </row>
    <row r="36" spans="1:12" x14ac:dyDescent="0.2">
      <c r="A36" s="15" t="s">
        <v>72</v>
      </c>
      <c r="F36" s="19">
        <v>1.78E-2</v>
      </c>
      <c r="G36" s="19">
        <v>1.78E-2</v>
      </c>
      <c r="H36" s="19">
        <v>1.78E-2</v>
      </c>
      <c r="I36" s="19">
        <v>1.78E-2</v>
      </c>
      <c r="J36" s="19">
        <v>1.78E-2</v>
      </c>
    </row>
    <row r="37" spans="1:12" x14ac:dyDescent="0.2">
      <c r="A37" s="15" t="s">
        <v>73</v>
      </c>
      <c r="F37" s="19">
        <v>1.78E-2</v>
      </c>
      <c r="G37" s="19">
        <v>1.78E-2</v>
      </c>
      <c r="H37" s="19">
        <v>1.78E-2</v>
      </c>
      <c r="I37" s="19">
        <v>1.78E-2</v>
      </c>
      <c r="J37" s="19">
        <v>1.78E-2</v>
      </c>
    </row>
    <row r="38" spans="1:12" x14ac:dyDescent="0.2">
      <c r="A38" s="15" t="s">
        <v>74</v>
      </c>
      <c r="F38" s="19">
        <v>3.6299999999999999E-2</v>
      </c>
      <c r="G38" s="19">
        <v>3.6299999999999999E-2</v>
      </c>
      <c r="H38" s="19">
        <v>3.6299999999999999E-2</v>
      </c>
      <c r="I38" s="19">
        <v>3.6299999999999999E-2</v>
      </c>
      <c r="J38" s="19">
        <v>3.6299999999999999E-2</v>
      </c>
    </row>
    <row r="39" spans="1:12" x14ac:dyDescent="0.2">
      <c r="A39" s="15" t="s">
        <v>75</v>
      </c>
      <c r="F39" s="19">
        <v>2.0199999999999999E-2</v>
      </c>
      <c r="G39" s="19">
        <v>2.0199999999999999E-2</v>
      </c>
      <c r="H39" s="19">
        <v>2.0199999999999999E-2</v>
      </c>
      <c r="I39" s="19">
        <v>2.0199999999999999E-2</v>
      </c>
      <c r="J39" s="19">
        <v>2.0199999999999999E-2</v>
      </c>
    </row>
    <row r="40" spans="1:12" x14ac:dyDescent="0.2">
      <c r="A40" s="15" t="s">
        <v>76</v>
      </c>
      <c r="F40" s="19">
        <v>2.5399999999999999E-2</v>
      </c>
      <c r="G40" s="19">
        <v>2.5399999999999999E-2</v>
      </c>
      <c r="H40" s="19">
        <v>2.5399999999999999E-2</v>
      </c>
      <c r="I40" s="19">
        <v>2.5399999999999999E-2</v>
      </c>
      <c r="J40" s="19">
        <v>2.5399999999999999E-2</v>
      </c>
    </row>
    <row r="41" spans="1:12" x14ac:dyDescent="0.2">
      <c r="A41" s="15" t="s">
        <v>77</v>
      </c>
      <c r="F41" s="19">
        <v>0.4002</v>
      </c>
      <c r="G41" s="19">
        <v>0.4002</v>
      </c>
      <c r="H41" s="19">
        <v>0.4002</v>
      </c>
      <c r="I41" s="19">
        <v>0.4002</v>
      </c>
      <c r="J41" s="19">
        <v>0.4002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42" customWidth="1"/>
    <col min="2" max="2" width="2" customWidth="1"/>
    <col min="3" max="10" width="11.5" customWidth="1"/>
    <col min="12" max="12" width="30" customWidth="1"/>
  </cols>
  <sheetData>
    <row r="1" spans="1:10" ht="18" x14ac:dyDescent="0.2">
      <c r="A1" s="11" t="s">
        <v>78</v>
      </c>
    </row>
    <row r="2" spans="1:10" x14ac:dyDescent="0.2">
      <c r="A2" s="12" t="s">
        <v>79</v>
      </c>
    </row>
    <row r="4" spans="1:10" x14ac:dyDescent="0.2">
      <c r="A4" s="15"/>
      <c r="C4" s="14" t="s">
        <v>35</v>
      </c>
      <c r="D4" s="14" t="s">
        <v>36</v>
      </c>
      <c r="E4" s="14" t="s">
        <v>37</v>
      </c>
      <c r="F4" s="14" t="s">
        <v>38</v>
      </c>
      <c r="G4" s="14" t="s">
        <v>39</v>
      </c>
      <c r="H4" s="14" t="s">
        <v>40</v>
      </c>
      <c r="I4" s="14" t="s">
        <v>41</v>
      </c>
      <c r="J4" s="14" t="s">
        <v>42</v>
      </c>
    </row>
    <row r="5" spans="1:10" x14ac:dyDescent="0.2">
      <c r="A5" s="15" t="s">
        <v>80</v>
      </c>
      <c r="C5" s="16">
        <f>Assumptions!C6</f>
        <v>3437</v>
      </c>
      <c r="D5" s="16">
        <f>Assumptions!D6</f>
        <v>3726</v>
      </c>
      <c r="E5" s="16">
        <f>Assumptions!E6</f>
        <v>4042</v>
      </c>
      <c r="F5" s="16">
        <f>Assumptions!F6</f>
        <v>4362</v>
      </c>
      <c r="G5" s="16">
        <f>Assumptions!G6</f>
        <v>4707</v>
      </c>
      <c r="H5" s="16">
        <f>Assumptions!H6</f>
        <v>5077</v>
      </c>
      <c r="I5" s="16">
        <f>Assumptions!I6</f>
        <v>5467</v>
      </c>
      <c r="J5" s="16">
        <f>Assumptions!J6</f>
        <v>5877</v>
      </c>
    </row>
    <row r="6" spans="1:10" x14ac:dyDescent="0.2">
      <c r="A6" s="15" t="s">
        <v>49</v>
      </c>
      <c r="C6" s="19">
        <f>Assumptions!C11</f>
        <v>7.9000000000000001E-2</v>
      </c>
      <c r="D6" s="19">
        <f>Assumptions!D11</f>
        <v>7.3999999999999996E-2</v>
      </c>
      <c r="E6" s="19">
        <f>Assumptions!E11</f>
        <v>-1.7000000000000001E-2</v>
      </c>
      <c r="F6" s="19">
        <f>Assumptions!F11</f>
        <v>1.4999999999999999E-2</v>
      </c>
      <c r="G6" s="19">
        <f>Assumptions!G11</f>
        <v>3.5000000000000003E-2</v>
      </c>
      <c r="H6" s="19">
        <f>Assumptions!H11</f>
        <v>3.5000000000000003E-2</v>
      </c>
      <c r="I6" s="19">
        <f>Assumptions!I11</f>
        <v>0.03</v>
      </c>
      <c r="J6" s="19">
        <f>Assumptions!J11</f>
        <v>0.03</v>
      </c>
    </row>
    <row r="8" spans="1:10" x14ac:dyDescent="0.2">
      <c r="A8" s="13" t="s">
        <v>81</v>
      </c>
      <c r="C8" s="22">
        <v>9871.7000000000007</v>
      </c>
      <c r="D8" s="22">
        <v>11313.9</v>
      </c>
      <c r="E8" s="22">
        <v>11925.6</v>
      </c>
      <c r="F8" s="22">
        <f>Assumptions!F9*Assumptions!F10</f>
        <v>13095.530836251286</v>
      </c>
      <c r="G8" s="22">
        <f>Assumptions!G9*Assumptions!G10</f>
        <v>14626.378757062304</v>
      </c>
      <c r="H8" s="22">
        <f>Assumptions!H9*Assumptions!H10</f>
        <v>16331.805811077955</v>
      </c>
      <c r="I8" s="22">
        <f>Assumptions!I9*Assumptions!I10</f>
        <v>18128.437989182967</v>
      </c>
      <c r="J8" s="22">
        <f>Assumptions!J9*Assumptions!J10</f>
        <v>20089.005175054088</v>
      </c>
    </row>
    <row r="9" spans="1:10" x14ac:dyDescent="0.2">
      <c r="A9" s="2" t="s">
        <v>82</v>
      </c>
      <c r="D9" s="17">
        <f t="shared" ref="D9:J9" si="0">D8/C8-1</f>
        <v>0.14609439103700472</v>
      </c>
      <c r="E9" s="17">
        <f t="shared" si="0"/>
        <v>5.4066237106568105E-2</v>
      </c>
      <c r="F9" s="17">
        <f t="shared" si="0"/>
        <v>9.810247167868158E-2</v>
      </c>
      <c r="G9" s="17">
        <f t="shared" si="0"/>
        <v>0.11689850071394559</v>
      </c>
      <c r="H9" s="17">
        <f t="shared" si="0"/>
        <v>0.1165994045650014</v>
      </c>
      <c r="I9" s="17">
        <f t="shared" si="0"/>
        <v>0.11000817661488149</v>
      </c>
      <c r="J9" s="17">
        <f t="shared" si="0"/>
        <v>0.1081487101669194</v>
      </c>
    </row>
    <row r="10" spans="1:10" x14ac:dyDescent="0.2">
      <c r="A10" s="15" t="s">
        <v>83</v>
      </c>
      <c r="C10" s="18">
        <v>2912.1</v>
      </c>
      <c r="D10" s="18">
        <v>3374.5</v>
      </c>
      <c r="E10" s="18">
        <v>3527</v>
      </c>
      <c r="F10" s="18">
        <f>Assumptions!F14*F8</f>
        <v>3876.2771275303803</v>
      </c>
      <c r="G10" s="18">
        <f>Assumptions!G14*G8</f>
        <v>4329.408112090442</v>
      </c>
      <c r="H10" s="18">
        <f>Assumptions!H14*H8</f>
        <v>4817.8827142679966</v>
      </c>
      <c r="I10" s="18">
        <f>Assumptions!I14*I8</f>
        <v>5347.8892068089744</v>
      </c>
      <c r="J10" s="18">
        <f>Assumptions!J14*J8</f>
        <v>5926.2565266409556</v>
      </c>
    </row>
    <row r="11" spans="1:10" x14ac:dyDescent="0.2">
      <c r="A11" s="15" t="s">
        <v>84</v>
      </c>
      <c r="C11" s="18">
        <v>2438.3000000000002</v>
      </c>
      <c r="D11" s="18">
        <v>2789.8</v>
      </c>
      <c r="E11" s="18">
        <v>2991.7</v>
      </c>
      <c r="F11" s="18">
        <f>Assumptions!F15*F8</f>
        <v>3273.8827090628215</v>
      </c>
      <c r="G11" s="18">
        <f>Assumptions!G15*G8</f>
        <v>3612.7155529943893</v>
      </c>
      <c r="H11" s="18">
        <f>Assumptions!H15*H8</f>
        <v>4001.2924237140987</v>
      </c>
      <c r="I11" s="18">
        <f>Assumptions!I15*I8</f>
        <v>4423.3388693606439</v>
      </c>
      <c r="J11" s="18">
        <f>Assumptions!J15*J8</f>
        <v>4881.6282575381429</v>
      </c>
    </row>
    <row r="12" spans="1:10" x14ac:dyDescent="0.2">
      <c r="A12" s="15" t="s">
        <v>85</v>
      </c>
      <c r="C12" s="18">
        <v>523.20000000000005</v>
      </c>
      <c r="D12" s="18">
        <v>563.4</v>
      </c>
      <c r="E12" s="18">
        <v>624.9</v>
      </c>
      <c r="F12" s="18">
        <f>Assumptions!F16*F8</f>
        <v>680.96760348506689</v>
      </c>
      <c r="G12" s="18">
        <f>Assumptions!G16*G8</f>
        <v>745.94531661017743</v>
      </c>
      <c r="H12" s="18">
        <f>Assumptions!H16*H8</f>
        <v>832.92209636497569</v>
      </c>
      <c r="I12" s="18">
        <f>Assumptions!I16*I8</f>
        <v>906.42189945914834</v>
      </c>
      <c r="J12" s="18">
        <f>Assumptions!J16*J8</f>
        <v>1004.4502587527045</v>
      </c>
    </row>
    <row r="13" spans="1:10" x14ac:dyDescent="0.2">
      <c r="A13" s="15" t="s">
        <v>86</v>
      </c>
      <c r="C13" s="18">
        <v>1411.7</v>
      </c>
      <c r="D13" s="18">
        <v>1568.5</v>
      </c>
      <c r="E13" s="18">
        <v>1755.8</v>
      </c>
      <c r="F13" s="18">
        <f>Assumptions!F17*F8</f>
        <v>1898.8519712564364</v>
      </c>
      <c r="G13" s="18">
        <f>Assumptions!G17*G8</f>
        <v>2106.1985410169718</v>
      </c>
      <c r="H13" s="18">
        <f>Assumptions!H17*H8</f>
        <v>2335.4482309841474</v>
      </c>
      <c r="I13" s="18">
        <f>Assumptions!I17*I8</f>
        <v>2592.3666324531641</v>
      </c>
      <c r="J13" s="18">
        <f>Assumptions!J17*J8</f>
        <v>2852.6387348576804</v>
      </c>
    </row>
    <row r="14" spans="1:10" x14ac:dyDescent="0.2">
      <c r="A14" s="13" t="s">
        <v>87</v>
      </c>
      <c r="C14" s="23">
        <f t="shared" ref="C14:J14" si="1">SUM(C10:C13)</f>
        <v>7285.2999999999993</v>
      </c>
      <c r="D14" s="23">
        <f t="shared" si="1"/>
        <v>8296.2000000000007</v>
      </c>
      <c r="E14" s="23">
        <f t="shared" si="1"/>
        <v>8899.4</v>
      </c>
      <c r="F14" s="23">
        <f t="shared" si="1"/>
        <v>9729.9794113347052</v>
      </c>
      <c r="G14" s="23">
        <f t="shared" si="1"/>
        <v>10794.26752271198</v>
      </c>
      <c r="H14" s="23">
        <f t="shared" si="1"/>
        <v>11987.545465331219</v>
      </c>
      <c r="I14" s="23">
        <f t="shared" si="1"/>
        <v>13270.016608081931</v>
      </c>
      <c r="J14" s="23">
        <f t="shared" si="1"/>
        <v>14664.973777789484</v>
      </c>
    </row>
    <row r="15" spans="1:10" x14ac:dyDescent="0.2">
      <c r="A15" s="13" t="s">
        <v>88</v>
      </c>
      <c r="C15" s="22">
        <f t="shared" ref="C15:J15" si="2">C8-C14</f>
        <v>2586.4000000000015</v>
      </c>
      <c r="D15" s="22">
        <f t="shared" si="2"/>
        <v>3017.6999999999989</v>
      </c>
      <c r="E15" s="22">
        <f t="shared" si="2"/>
        <v>3026.2000000000007</v>
      </c>
      <c r="F15" s="22">
        <f t="shared" si="2"/>
        <v>3365.5514249165808</v>
      </c>
      <c r="G15" s="22">
        <f t="shared" si="2"/>
        <v>3832.1112343503246</v>
      </c>
      <c r="H15" s="22">
        <f t="shared" si="2"/>
        <v>4344.2603457467358</v>
      </c>
      <c r="I15" s="22">
        <f t="shared" si="2"/>
        <v>4858.4213811010359</v>
      </c>
      <c r="J15" s="22">
        <f t="shared" si="2"/>
        <v>5424.0313972646036</v>
      </c>
    </row>
    <row r="16" spans="1:10" x14ac:dyDescent="0.2">
      <c r="A16" s="2" t="s">
        <v>89</v>
      </c>
      <c r="C16" s="17">
        <f t="shared" ref="C16:J16" si="3">C15/C8</f>
        <v>0.26200147897525261</v>
      </c>
      <c r="D16" s="17">
        <f t="shared" si="3"/>
        <v>0.26672500198870408</v>
      </c>
      <c r="E16" s="17">
        <f t="shared" si="3"/>
        <v>0.25375662440464219</v>
      </c>
      <c r="F16" s="17">
        <f t="shared" si="3"/>
        <v>0.25700000000000001</v>
      </c>
      <c r="G16" s="17">
        <f t="shared" si="3"/>
        <v>0.26200000000000007</v>
      </c>
      <c r="H16" s="17">
        <f t="shared" si="3"/>
        <v>0.26600000000000001</v>
      </c>
      <c r="I16" s="17">
        <f t="shared" si="3"/>
        <v>0.26800000000000007</v>
      </c>
      <c r="J16" s="17">
        <f t="shared" si="3"/>
        <v>0.27</v>
      </c>
    </row>
    <row r="17" spans="1:10" x14ac:dyDescent="0.2">
      <c r="A17" s="15" t="s">
        <v>90</v>
      </c>
      <c r="C17" s="18">
        <v>633.6</v>
      </c>
      <c r="D17" s="18">
        <v>697.5</v>
      </c>
      <c r="E17" s="18">
        <v>652</v>
      </c>
      <c r="F17" s="18">
        <f>Assumptions!F19*F8</f>
        <v>707.15866515756943</v>
      </c>
      <c r="G17" s="18">
        <f>Assumptions!G19*G8</f>
        <v>775.19807412430214</v>
      </c>
      <c r="H17" s="18">
        <f>Assumptions!H19*H8</f>
        <v>849.25390217605366</v>
      </c>
      <c r="I17" s="18">
        <f>Assumptions!I19*I8</f>
        <v>924.55033744833122</v>
      </c>
      <c r="J17" s="18">
        <f>Assumptions!J19*J8</f>
        <v>1024.5392639277584</v>
      </c>
    </row>
    <row r="18" spans="1:10" x14ac:dyDescent="0.2">
      <c r="A18" s="15" t="s">
        <v>91</v>
      </c>
      <c r="C18" s="18">
        <v>319.39999999999998</v>
      </c>
      <c r="D18" s="18">
        <v>335</v>
      </c>
      <c r="E18" s="18">
        <v>361.4</v>
      </c>
      <c r="F18" s="18">
        <f>Assumptions!F20*F8</f>
        <v>405.96145592378986</v>
      </c>
      <c r="G18" s="18">
        <f>Assumptions!G20*G8</f>
        <v>453.41774146893141</v>
      </c>
      <c r="H18" s="18">
        <f>Assumptions!H20*H8</f>
        <v>506.28598014341662</v>
      </c>
      <c r="I18" s="18">
        <f>Assumptions!I20*I8</f>
        <v>561.98157766467193</v>
      </c>
      <c r="J18" s="18">
        <f>Assumptions!J20*J8</f>
        <v>622.75916042667677</v>
      </c>
    </row>
    <row r="19" spans="1:10" x14ac:dyDescent="0.2">
      <c r="A19" s="15" t="s">
        <v>92</v>
      </c>
      <c r="C19" s="18">
        <v>44.5</v>
      </c>
      <c r="D19" s="18">
        <v>41.9</v>
      </c>
      <c r="E19" s="18">
        <v>49.5</v>
      </c>
      <c r="F19" s="18">
        <f>Assumptions!F21*F8</f>
        <v>52.382123345005148</v>
      </c>
      <c r="G19" s="18">
        <f>Assumptions!G21*G8</f>
        <v>58.505515028249221</v>
      </c>
      <c r="H19" s="18">
        <f>Assumptions!H21*H8</f>
        <v>65.327223244311824</v>
      </c>
      <c r="I19" s="18">
        <f>Assumptions!I21*I8</f>
        <v>72.513751956731866</v>
      </c>
      <c r="J19" s="18">
        <f>Assumptions!J21*J8</f>
        <v>80.356020700216348</v>
      </c>
    </row>
    <row r="20" spans="1:10" x14ac:dyDescent="0.2">
      <c r="A20" s="15" t="s">
        <v>93</v>
      </c>
      <c r="C20" s="18">
        <v>30.8</v>
      </c>
      <c r="D20" s="18">
        <v>26.9</v>
      </c>
      <c r="E20" s="18">
        <v>27.5</v>
      </c>
      <c r="F20" s="18">
        <f>Assumptions!F22*F8</f>
        <v>26.191061672502574</v>
      </c>
      <c r="G20" s="18">
        <f>Assumptions!G22*G8</f>
        <v>29.25275751412461</v>
      </c>
      <c r="H20" s="18">
        <f>Assumptions!H22*H8</f>
        <v>32.663611622155912</v>
      </c>
      <c r="I20" s="18">
        <f>Assumptions!I22*I8</f>
        <v>36.256875978365933</v>
      </c>
      <c r="J20" s="18">
        <f>Assumptions!J22*J8</f>
        <v>40.178010350108174</v>
      </c>
    </row>
    <row r="21" spans="1:10" x14ac:dyDescent="0.2">
      <c r="A21" s="13" t="s">
        <v>94</v>
      </c>
      <c r="C21" s="23">
        <f t="shared" ref="C21:J21" si="4">C14+C17+C18+C19+C20</f>
        <v>8313.5999999999985</v>
      </c>
      <c r="D21" s="23">
        <f t="shared" si="4"/>
        <v>9397.5</v>
      </c>
      <c r="E21" s="23">
        <f t="shared" si="4"/>
        <v>9989.7999999999993</v>
      </c>
      <c r="F21" s="23">
        <f t="shared" si="4"/>
        <v>10921.672717433572</v>
      </c>
      <c r="G21" s="23">
        <f t="shared" si="4"/>
        <v>12110.641610847588</v>
      </c>
      <c r="H21" s="23">
        <f t="shared" si="4"/>
        <v>13441.076182517158</v>
      </c>
      <c r="I21" s="23">
        <f t="shared" si="4"/>
        <v>14865.319151130032</v>
      </c>
      <c r="J21" s="23">
        <f t="shared" si="4"/>
        <v>16432.806233194242</v>
      </c>
    </row>
    <row r="22" spans="1:10" x14ac:dyDescent="0.2">
      <c r="A22" s="13" t="s">
        <v>95</v>
      </c>
      <c r="C22" s="22">
        <f t="shared" ref="C22:J22" si="5">C8-C21</f>
        <v>1558.1000000000022</v>
      </c>
      <c r="D22" s="22">
        <f t="shared" si="5"/>
        <v>1916.3999999999996</v>
      </c>
      <c r="E22" s="22">
        <f t="shared" si="5"/>
        <v>1935.8000000000011</v>
      </c>
      <c r="F22" s="22">
        <f t="shared" si="5"/>
        <v>2173.8581188177141</v>
      </c>
      <c r="G22" s="22">
        <f t="shared" si="5"/>
        <v>2515.7371462147166</v>
      </c>
      <c r="H22" s="22">
        <f t="shared" si="5"/>
        <v>2890.7296285607972</v>
      </c>
      <c r="I22" s="22">
        <f t="shared" si="5"/>
        <v>3263.1188380529347</v>
      </c>
      <c r="J22" s="22">
        <f t="shared" si="5"/>
        <v>3656.1989418598459</v>
      </c>
    </row>
    <row r="23" spans="1:10" x14ac:dyDescent="0.2">
      <c r="A23" s="2" t="s">
        <v>96</v>
      </c>
      <c r="C23" s="17">
        <f t="shared" ref="C23:J23" si="6">C22/C8</f>
        <v>0.15783502334957525</v>
      </c>
      <c r="D23" s="17">
        <f t="shared" si="6"/>
        <v>0.1693845623525044</v>
      </c>
      <c r="E23" s="17">
        <f t="shared" si="6"/>
        <v>0.16232306969879931</v>
      </c>
      <c r="F23" s="17">
        <f t="shared" si="6"/>
        <v>0.16600000000000004</v>
      </c>
      <c r="G23" s="17">
        <f t="shared" si="6"/>
        <v>0.17200000000000001</v>
      </c>
      <c r="H23" s="17">
        <f t="shared" si="6"/>
        <v>0.17699999999999996</v>
      </c>
      <c r="I23" s="17">
        <f t="shared" si="6"/>
        <v>0.18000000000000005</v>
      </c>
      <c r="J23" s="17">
        <f t="shared" si="6"/>
        <v>0.18200000000000011</v>
      </c>
    </row>
    <row r="24" spans="1:10" x14ac:dyDescent="0.2">
      <c r="A24" s="15" t="s">
        <v>97</v>
      </c>
      <c r="C24" s="18">
        <v>63.1</v>
      </c>
      <c r="D24" s="18">
        <v>93.6</v>
      </c>
      <c r="E24" s="18">
        <v>73.8</v>
      </c>
      <c r="F24" s="18">
        <f>Assumptions!F26*('Balance Sheet'!E5+'Balance Sheet'!E6+'Balance Sheet'!E12)</f>
        <v>43.6205</v>
      </c>
      <c r="G24" s="18">
        <f>Assumptions!G26*('Balance Sheet'!F5+'Balance Sheet'!F6+'Balance Sheet'!F12)</f>
        <v>54.28776545302631</v>
      </c>
      <c r="H24" s="18">
        <f>Assumptions!H26*('Balance Sheet'!G5+'Balance Sheet'!G6+'Balance Sheet'!G12)</f>
        <v>66.696282166855624</v>
      </c>
      <c r="I24" s="18">
        <f>Assumptions!I26*('Balance Sheet'!H5+'Balance Sheet'!H6+'Balance Sheet'!H12)</f>
        <v>81.064610718756427</v>
      </c>
      <c r="J24" s="18">
        <f>Assumptions!J26*('Balance Sheet'!I5+'Balance Sheet'!I6+'Balance Sheet'!I12)</f>
        <v>97.248713774973453</v>
      </c>
    </row>
    <row r="25" spans="1:10" x14ac:dyDescent="0.2">
      <c r="A25" s="13" t="s">
        <v>98</v>
      </c>
      <c r="C25" s="23">
        <f t="shared" ref="C25:J25" si="7">C22+C24</f>
        <v>1621.2000000000021</v>
      </c>
      <c r="D25" s="23">
        <f t="shared" si="7"/>
        <v>2009.9999999999995</v>
      </c>
      <c r="E25" s="23">
        <f t="shared" si="7"/>
        <v>2009.600000000001</v>
      </c>
      <c r="F25" s="23">
        <f t="shared" si="7"/>
        <v>2217.4786188177141</v>
      </c>
      <c r="G25" s="23">
        <f t="shared" si="7"/>
        <v>2570.0249116677428</v>
      </c>
      <c r="H25" s="23">
        <f t="shared" si="7"/>
        <v>2957.425910727653</v>
      </c>
      <c r="I25" s="23">
        <f t="shared" si="7"/>
        <v>3344.183448771691</v>
      </c>
      <c r="J25" s="23">
        <f t="shared" si="7"/>
        <v>3753.4476556348195</v>
      </c>
    </row>
    <row r="26" spans="1:10" x14ac:dyDescent="0.2">
      <c r="A26" s="15" t="s">
        <v>99</v>
      </c>
      <c r="C26" s="18">
        <v>391.8</v>
      </c>
      <c r="D26" s="18">
        <v>476.1</v>
      </c>
      <c r="E26" s="18">
        <v>473.8</v>
      </c>
      <c r="F26" s="18">
        <f>Assumptions!F27*F25</f>
        <v>532.1948685162514</v>
      </c>
      <c r="G26" s="18">
        <f>Assumptions!G27*G25</f>
        <v>616.80597880025823</v>
      </c>
      <c r="H26" s="18">
        <f>Assumptions!H27*H25</f>
        <v>709.78221857463666</v>
      </c>
      <c r="I26" s="18">
        <f>Assumptions!I27*I25</f>
        <v>802.60402770520579</v>
      </c>
      <c r="J26" s="18">
        <f>Assumptions!J27*J25</f>
        <v>900.8274373523567</v>
      </c>
    </row>
    <row r="27" spans="1:10" x14ac:dyDescent="0.2">
      <c r="A27" s="13" t="s">
        <v>100</v>
      </c>
      <c r="C27" s="22">
        <f t="shared" ref="C27:J27" si="8">C25-C26</f>
        <v>1229.4000000000021</v>
      </c>
      <c r="D27" s="22">
        <f t="shared" si="8"/>
        <v>1533.8999999999996</v>
      </c>
      <c r="E27" s="22">
        <f t="shared" si="8"/>
        <v>1535.8000000000011</v>
      </c>
      <c r="F27" s="22">
        <f t="shared" si="8"/>
        <v>1685.2837503014625</v>
      </c>
      <c r="G27" s="22">
        <f t="shared" si="8"/>
        <v>1953.2189328674845</v>
      </c>
      <c r="H27" s="22">
        <f t="shared" si="8"/>
        <v>2247.6436921530162</v>
      </c>
      <c r="I27" s="22">
        <f t="shared" si="8"/>
        <v>2541.5794210664853</v>
      </c>
      <c r="J27" s="22">
        <f t="shared" si="8"/>
        <v>2852.6202182824627</v>
      </c>
    </row>
    <row r="28" spans="1:10" x14ac:dyDescent="0.2">
      <c r="A28" s="2" t="s">
        <v>101</v>
      </c>
      <c r="C28" s="17">
        <f t="shared" ref="C28:J28" si="9">C27/C8</f>
        <v>0.12453782023359726</v>
      </c>
      <c r="D28" s="17">
        <f t="shared" si="9"/>
        <v>0.13557659162622965</v>
      </c>
      <c r="E28" s="17">
        <f t="shared" si="9"/>
        <v>0.12878178037163757</v>
      </c>
      <c r="F28" s="17">
        <f t="shared" si="9"/>
        <v>0.12869151860848813</v>
      </c>
      <c r="G28" s="17">
        <f t="shared" si="9"/>
        <v>0.13354084187956491</v>
      </c>
      <c r="H28" s="17">
        <f t="shared" si="9"/>
        <v>0.13762370910805385</v>
      </c>
      <c r="I28" s="17">
        <f t="shared" si="9"/>
        <v>0.14019847835665802</v>
      </c>
      <c r="J28" s="17">
        <f t="shared" si="9"/>
        <v>0.14199907827316205</v>
      </c>
    </row>
    <row r="30" spans="1:10" x14ac:dyDescent="0.2">
      <c r="A30" s="15" t="s">
        <v>102</v>
      </c>
      <c r="C30" s="16">
        <v>1386</v>
      </c>
      <c r="D30" s="16">
        <v>1377</v>
      </c>
      <c r="E30" s="16">
        <v>1343</v>
      </c>
      <c r="F30" s="16">
        <f>('Cash Flow'!F27+'Cash Flow'!F29)/2</f>
        <v>1280.0406671287747</v>
      </c>
      <c r="G30" s="16">
        <f>('Cash Flow'!G27+'Cash Flow'!G29)/2</f>
        <v>1236.8639767613772</v>
      </c>
      <c r="H30" s="16">
        <f>('Cash Flow'!H27+'Cash Flow'!H29)/2</f>
        <v>1186.7622922899952</v>
      </c>
      <c r="I30" s="16">
        <f>('Cash Flow'!I27+'Cash Flow'!I29)/2</f>
        <v>1129.5961745837217</v>
      </c>
      <c r="J30" s="16">
        <f>('Cash Flow'!J27+'Cash Flow'!J29)/2</f>
        <v>1065.1621197884581</v>
      </c>
    </row>
    <row r="31" spans="1:10" x14ac:dyDescent="0.2">
      <c r="A31" s="13" t="s">
        <v>103</v>
      </c>
      <c r="C31" s="6">
        <f t="shared" ref="C31:J31" si="10">C27/C30</f>
        <v>0.88701298701298859</v>
      </c>
      <c r="D31" s="6">
        <f t="shared" si="10"/>
        <v>1.1139433551198255</v>
      </c>
      <c r="E31" s="6">
        <f t="shared" si="10"/>
        <v>1.1435591958302316</v>
      </c>
      <c r="F31" s="6">
        <f t="shared" si="10"/>
        <v>1.316586100410136</v>
      </c>
      <c r="G31" s="6">
        <f t="shared" si="10"/>
        <v>1.5791703611433665</v>
      </c>
      <c r="H31" s="6">
        <f t="shared" si="10"/>
        <v>1.8939291438186223</v>
      </c>
      <c r="I31" s="6">
        <f t="shared" si="10"/>
        <v>2.2499894017462543</v>
      </c>
      <c r="J31" s="6">
        <f t="shared" si="10"/>
        <v>2.6781089613372608</v>
      </c>
    </row>
    <row r="32" spans="1:10" x14ac:dyDescent="0.2">
      <c r="A32" s="2" t="s">
        <v>104</v>
      </c>
      <c r="C32" s="24">
        <f t="shared" ref="C32:J32" si="11">C22+C18</f>
        <v>1877.5000000000023</v>
      </c>
      <c r="D32" s="24">
        <f t="shared" si="11"/>
        <v>2251.3999999999996</v>
      </c>
      <c r="E32" s="24">
        <f t="shared" si="11"/>
        <v>2297.2000000000012</v>
      </c>
      <c r="F32" s="24">
        <f t="shared" si="11"/>
        <v>2579.8195747415039</v>
      </c>
      <c r="G32" s="24">
        <f t="shared" si="11"/>
        <v>2969.1548876836482</v>
      </c>
      <c r="H32" s="24">
        <f t="shared" si="11"/>
        <v>3397.0156087042137</v>
      </c>
      <c r="I32" s="24">
        <f t="shared" si="11"/>
        <v>3825.1004157176067</v>
      </c>
      <c r="J32" s="24">
        <f t="shared" si="11"/>
        <v>4278.9581022865223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42" customWidth="1"/>
    <col min="2" max="2" width="2" customWidth="1"/>
    <col min="3" max="10" width="11.5" customWidth="1"/>
  </cols>
  <sheetData>
    <row r="1" spans="1:10" ht="18" x14ac:dyDescent="0.2">
      <c r="A1" s="11" t="s">
        <v>105</v>
      </c>
    </row>
    <row r="2" spans="1:10" x14ac:dyDescent="0.2">
      <c r="A2" s="12" t="s">
        <v>106</v>
      </c>
    </row>
    <row r="4" spans="1:10" x14ac:dyDescent="0.2">
      <c r="A4" s="13" t="s">
        <v>107</v>
      </c>
      <c r="C4" s="14" t="s">
        <v>35</v>
      </c>
      <c r="D4" s="14" t="s">
        <v>36</v>
      </c>
      <c r="E4" s="14" t="s">
        <v>37</v>
      </c>
      <c r="F4" s="14" t="s">
        <v>38</v>
      </c>
      <c r="G4" s="14" t="s">
        <v>39</v>
      </c>
      <c r="H4" s="14" t="s">
        <v>40</v>
      </c>
      <c r="I4" s="14" t="s">
        <v>41</v>
      </c>
      <c r="J4" s="14" t="s">
        <v>42</v>
      </c>
    </row>
    <row r="5" spans="1:10" x14ac:dyDescent="0.2">
      <c r="A5" s="15" t="s">
        <v>108</v>
      </c>
      <c r="C5" s="18">
        <v>560.6</v>
      </c>
      <c r="D5" s="18">
        <v>748.5</v>
      </c>
      <c r="E5" s="18">
        <v>350.6</v>
      </c>
      <c r="F5" s="18">
        <f>'Cash Flow'!F21</f>
        <v>655.3790129436087</v>
      </c>
      <c r="G5" s="18">
        <f>'Cash Flow'!G21</f>
        <v>1009.9080619101604</v>
      </c>
      <c r="H5" s="18">
        <f>'Cash Flow'!H21</f>
        <v>1420.4317348216123</v>
      </c>
      <c r="I5" s="18">
        <f>'Cash Flow'!I21</f>
        <v>1882.8346792849554</v>
      </c>
      <c r="J5" s="18">
        <f>'Cash Flow'!J21</f>
        <v>2404.3397515452871</v>
      </c>
    </row>
    <row r="6" spans="1:10" x14ac:dyDescent="0.2">
      <c r="A6" s="15" t="s">
        <v>109</v>
      </c>
      <c r="C6" s="18">
        <v>734.8</v>
      </c>
      <c r="D6" s="18">
        <v>674.4</v>
      </c>
      <c r="E6" s="18">
        <v>698.6</v>
      </c>
      <c r="F6" s="18">
        <f>E6</f>
        <v>698.6</v>
      </c>
      <c r="G6" s="18">
        <f>F6</f>
        <v>698.6</v>
      </c>
      <c r="H6" s="18">
        <f>G6</f>
        <v>698.6</v>
      </c>
      <c r="I6" s="18">
        <f>H6</f>
        <v>698.6</v>
      </c>
      <c r="J6" s="18">
        <f>I6</f>
        <v>698.6</v>
      </c>
    </row>
    <row r="7" spans="1:10" x14ac:dyDescent="0.2">
      <c r="A7" s="15" t="s">
        <v>69</v>
      </c>
      <c r="C7" s="18">
        <v>115.5</v>
      </c>
      <c r="D7" s="18">
        <v>144</v>
      </c>
      <c r="E7" s="18">
        <v>156.5</v>
      </c>
      <c r="F7" s="18">
        <f>Assumptions!F34*'Income Statement'!F8</f>
        <v>171.55145395489185</v>
      </c>
      <c r="G7" s="18">
        <f>Assumptions!G34*'Income Statement'!G8</f>
        <v>191.6055617175162</v>
      </c>
      <c r="H7" s="18">
        <f>Assumptions!H34*'Income Statement'!H8</f>
        <v>213.94665612512122</v>
      </c>
      <c r="I7" s="18">
        <f>Assumptions!I34*'Income Statement'!I8</f>
        <v>237.48253765829688</v>
      </c>
      <c r="J7" s="18">
        <f>Assumptions!J34*'Income Statement'!J8</f>
        <v>263.16596779320855</v>
      </c>
    </row>
    <row r="8" spans="1:10" x14ac:dyDescent="0.2">
      <c r="A8" s="15" t="s">
        <v>71</v>
      </c>
      <c r="C8" s="18">
        <v>39.299999999999997</v>
      </c>
      <c r="D8" s="18">
        <v>48.9</v>
      </c>
      <c r="E8" s="18">
        <v>49.5</v>
      </c>
      <c r="F8" s="18">
        <f>Assumptions!F35*'Income Statement'!F8</f>
        <v>54.34645297044284</v>
      </c>
      <c r="G8" s="18">
        <f>Assumptions!G35*'Income Statement'!G8</f>
        <v>60.699471841808567</v>
      </c>
      <c r="H8" s="18">
        <f>Assumptions!H35*'Income Statement'!H8</f>
        <v>67.776994115973508</v>
      </c>
      <c r="I8" s="18">
        <f>Assumptions!I35*'Income Statement'!I8</f>
        <v>75.233017655109307</v>
      </c>
      <c r="J8" s="18">
        <f>Assumptions!J35*'Income Statement'!J8</f>
        <v>83.36937147647447</v>
      </c>
    </row>
    <row r="9" spans="1:10" x14ac:dyDescent="0.2">
      <c r="A9" s="15" t="s">
        <v>110</v>
      </c>
      <c r="C9" s="18">
        <v>170.4</v>
      </c>
      <c r="D9" s="18">
        <v>164.8</v>
      </c>
      <c r="E9" s="18">
        <v>211.8</v>
      </c>
      <c r="F9" s="18">
        <f>Assumptions!F36*'Income Statement'!F8</f>
        <v>233.1004488852729</v>
      </c>
      <c r="G9" s="18">
        <f>Assumptions!G36*'Income Statement'!G8</f>
        <v>260.34954187570901</v>
      </c>
      <c r="H9" s="18">
        <f>Assumptions!H36*'Income Statement'!H8</f>
        <v>290.70614343718762</v>
      </c>
      <c r="I9" s="18">
        <f>Assumptions!I36*'Income Statement'!I8</f>
        <v>322.68619620745682</v>
      </c>
      <c r="J9" s="18">
        <f>Assumptions!J36*'Income Statement'!J8</f>
        <v>357.58429211596274</v>
      </c>
    </row>
    <row r="10" spans="1:10" x14ac:dyDescent="0.2">
      <c r="A10" s="13" t="s">
        <v>111</v>
      </c>
      <c r="C10" s="23">
        <f t="shared" ref="C10:J10" si="0">SUM(C5:C9)</f>
        <v>1620.6000000000001</v>
      </c>
      <c r="D10" s="23">
        <f t="shared" si="0"/>
        <v>1780.6000000000001</v>
      </c>
      <c r="E10" s="23">
        <f t="shared" si="0"/>
        <v>1467</v>
      </c>
      <c r="F10" s="23">
        <f t="shared" si="0"/>
        <v>1812.9773687542165</v>
      </c>
      <c r="G10" s="23">
        <f t="shared" si="0"/>
        <v>2221.1626373451941</v>
      </c>
      <c r="H10" s="23">
        <f t="shared" si="0"/>
        <v>2691.4615284998945</v>
      </c>
      <c r="I10" s="23">
        <f t="shared" si="0"/>
        <v>3216.8364308058185</v>
      </c>
      <c r="J10" s="23">
        <f t="shared" si="0"/>
        <v>3807.0593829309328</v>
      </c>
    </row>
    <row r="11" spans="1:10" x14ac:dyDescent="0.2">
      <c r="A11" s="15" t="s">
        <v>112</v>
      </c>
      <c r="C11" s="18">
        <v>5749</v>
      </c>
      <c r="D11" s="18">
        <v>6390</v>
      </c>
      <c r="E11" s="18">
        <v>7142</v>
      </c>
      <c r="F11" s="18">
        <f>E11+Assumptions!F28*'Income Statement'!F8-'Income Statement'!F18+((F20+F22)-(E20+E22))</f>
        <v>7967.4461948148301</v>
      </c>
      <c r="G11" s="18">
        <f>F11+Assumptions!G28*'Income Statement'!G8-'Income Statement'!G18+((G20+G22)-(F20+F22))</f>
        <v>8984.6345388385562</v>
      </c>
      <c r="H11" s="18">
        <f>G11+Assumptions!H28*'Income Statement'!H8-'Income Statement'!H18+((H20+H22)-(G20+G22))</f>
        <v>10102.427632493487</v>
      </c>
      <c r="I11" s="18">
        <f>H11+Assumptions!I28*'Income Statement'!I8-'Income Statement'!I18+((I20+I22)-(H20+H22))</f>
        <v>11302.156799235372</v>
      </c>
      <c r="J11" s="18">
        <f>I11+Assumptions!J28*'Income Statement'!J8-'Income Statement'!J18+((J20+J22)-(I20+I22))</f>
        <v>12598.621312568364</v>
      </c>
    </row>
    <row r="12" spans="1:10" x14ac:dyDescent="0.2">
      <c r="A12" s="15" t="s">
        <v>113</v>
      </c>
      <c r="C12" s="18">
        <v>564.5</v>
      </c>
      <c r="D12" s="18">
        <v>868</v>
      </c>
      <c r="E12" s="18">
        <v>197.1</v>
      </c>
      <c r="F12" s="18">
        <f t="shared" ref="F12:J14" si="1">E12</f>
        <v>197.1</v>
      </c>
      <c r="G12" s="18">
        <f t="shared" si="1"/>
        <v>197.1</v>
      </c>
      <c r="H12" s="18">
        <f t="shared" si="1"/>
        <v>197.1</v>
      </c>
      <c r="I12" s="18">
        <f t="shared" si="1"/>
        <v>197.1</v>
      </c>
      <c r="J12" s="18">
        <f t="shared" si="1"/>
        <v>197.1</v>
      </c>
    </row>
    <row r="13" spans="1:10" x14ac:dyDescent="0.2">
      <c r="A13" s="15" t="s">
        <v>114</v>
      </c>
      <c r="C13" s="18">
        <v>21.9</v>
      </c>
      <c r="D13" s="18">
        <v>21.9</v>
      </c>
      <c r="E13" s="18">
        <v>21.9</v>
      </c>
      <c r="F13" s="18">
        <f t="shared" si="1"/>
        <v>21.9</v>
      </c>
      <c r="G13" s="18">
        <f t="shared" si="1"/>
        <v>21.9</v>
      </c>
      <c r="H13" s="18">
        <f t="shared" si="1"/>
        <v>21.9</v>
      </c>
      <c r="I13" s="18">
        <f t="shared" si="1"/>
        <v>21.9</v>
      </c>
      <c r="J13" s="18">
        <f t="shared" si="1"/>
        <v>21.9</v>
      </c>
    </row>
    <row r="14" spans="1:10" x14ac:dyDescent="0.2">
      <c r="A14" s="15" t="s">
        <v>115</v>
      </c>
      <c r="C14" s="18">
        <v>88.7</v>
      </c>
      <c r="D14" s="18">
        <v>144.6</v>
      </c>
      <c r="E14" s="18">
        <v>166.6</v>
      </c>
      <c r="F14" s="18">
        <f t="shared" si="1"/>
        <v>166.6</v>
      </c>
      <c r="G14" s="18">
        <f t="shared" si="1"/>
        <v>166.6</v>
      </c>
      <c r="H14" s="18">
        <f t="shared" si="1"/>
        <v>166.6</v>
      </c>
      <c r="I14" s="18">
        <f t="shared" si="1"/>
        <v>166.6</v>
      </c>
      <c r="J14" s="18">
        <f t="shared" si="1"/>
        <v>166.6</v>
      </c>
    </row>
    <row r="15" spans="1:10" x14ac:dyDescent="0.2">
      <c r="A15" s="13" t="s">
        <v>116</v>
      </c>
      <c r="C15" s="23">
        <f t="shared" ref="C15:J15" si="2">C10+C11+C12+C13+C14</f>
        <v>8044.7</v>
      </c>
      <c r="D15" s="23">
        <f t="shared" si="2"/>
        <v>9205.1</v>
      </c>
      <c r="E15" s="23">
        <f t="shared" si="2"/>
        <v>8994.6</v>
      </c>
      <c r="F15" s="23">
        <f t="shared" si="2"/>
        <v>10166.023563569046</v>
      </c>
      <c r="G15" s="23">
        <f t="shared" si="2"/>
        <v>11591.397176183751</v>
      </c>
      <c r="H15" s="23">
        <f t="shared" si="2"/>
        <v>13179.489160993382</v>
      </c>
      <c r="I15" s="23">
        <f t="shared" si="2"/>
        <v>14904.593230041191</v>
      </c>
      <c r="J15" s="23">
        <f t="shared" si="2"/>
        <v>16791.280695499296</v>
      </c>
    </row>
    <row r="16" spans="1:10" x14ac:dyDescent="0.2">
      <c r="A16" s="13" t="s">
        <v>117</v>
      </c>
    </row>
    <row r="17" spans="1:10" x14ac:dyDescent="0.2">
      <c r="A17" s="15" t="s">
        <v>73</v>
      </c>
      <c r="C17" s="18">
        <v>197.7</v>
      </c>
      <c r="D17" s="18">
        <v>210.7</v>
      </c>
      <c r="E17" s="18">
        <v>212.8</v>
      </c>
      <c r="F17" s="18">
        <f>Assumptions!F37*'Income Statement'!F8</f>
        <v>233.1004488852729</v>
      </c>
      <c r="G17" s="18">
        <f>Assumptions!G37*'Income Statement'!G8</f>
        <v>260.34954187570901</v>
      </c>
      <c r="H17" s="18">
        <f>Assumptions!H37*'Income Statement'!H8</f>
        <v>290.70614343718762</v>
      </c>
      <c r="I17" s="18">
        <f>Assumptions!I37*'Income Statement'!I8</f>
        <v>322.68619620745682</v>
      </c>
      <c r="J17" s="18">
        <f>Assumptions!J37*'Income Statement'!J8</f>
        <v>357.58429211596274</v>
      </c>
    </row>
    <row r="18" spans="1:10" x14ac:dyDescent="0.2">
      <c r="A18" s="15" t="s">
        <v>74</v>
      </c>
      <c r="C18" s="18">
        <v>375.2</v>
      </c>
      <c r="D18" s="18">
        <v>441.7</v>
      </c>
      <c r="E18" s="18">
        <v>432.6</v>
      </c>
      <c r="F18" s="18">
        <f>Assumptions!F38*'Income Statement'!F8</f>
        <v>475.36776935592167</v>
      </c>
      <c r="G18" s="18">
        <f>Assumptions!G38*'Income Statement'!G8</f>
        <v>530.93754888136164</v>
      </c>
      <c r="H18" s="18">
        <f>Assumptions!H38*'Income Statement'!H8</f>
        <v>592.84455094212979</v>
      </c>
      <c r="I18" s="18">
        <f>Assumptions!I38*'Income Statement'!I8</f>
        <v>658.06229900734172</v>
      </c>
      <c r="J18" s="18">
        <f>Assumptions!J38*'Income Statement'!J8</f>
        <v>729.23088785446339</v>
      </c>
    </row>
    <row r="19" spans="1:10" x14ac:dyDescent="0.2">
      <c r="A19" s="15" t="s">
        <v>118</v>
      </c>
      <c r="C19" s="18">
        <v>209.7</v>
      </c>
      <c r="D19" s="18">
        <v>238.6</v>
      </c>
      <c r="E19" s="18">
        <v>240.4</v>
      </c>
      <c r="F19" s="18">
        <f>Assumptions!F39*'Income Statement'!F8</f>
        <v>264.52972289227597</v>
      </c>
      <c r="G19" s="18">
        <f>Assumptions!G39*'Income Statement'!G8</f>
        <v>295.45285089265855</v>
      </c>
      <c r="H19" s="18">
        <f>Assumptions!H39*'Income Statement'!H8</f>
        <v>329.90247738377468</v>
      </c>
      <c r="I19" s="18">
        <f>Assumptions!I39*'Income Statement'!I8</f>
        <v>366.19444738149593</v>
      </c>
      <c r="J19" s="18">
        <f>Assumptions!J39*'Income Statement'!J8</f>
        <v>405.79790453609257</v>
      </c>
    </row>
    <row r="20" spans="1:10" x14ac:dyDescent="0.2">
      <c r="A20" s="15" t="s">
        <v>76</v>
      </c>
      <c r="C20" s="18">
        <v>248.1</v>
      </c>
      <c r="D20" s="18">
        <v>277.8</v>
      </c>
      <c r="E20" s="18">
        <v>302.39999999999998</v>
      </c>
      <c r="F20" s="18">
        <f>Assumptions!F40*'Income Statement'!F8</f>
        <v>332.62648324078265</v>
      </c>
      <c r="G20" s="18">
        <f>Assumptions!G40*'Income Statement'!G8</f>
        <v>371.51002042938251</v>
      </c>
      <c r="H20" s="18">
        <f>Assumptions!H40*'Income Statement'!H8</f>
        <v>414.82786760138004</v>
      </c>
      <c r="I20" s="18">
        <f>Assumptions!I40*'Income Statement'!I8</f>
        <v>460.46232492524734</v>
      </c>
      <c r="J20" s="18">
        <f>Assumptions!J40*'Income Statement'!J8</f>
        <v>510.26073144637382</v>
      </c>
    </row>
    <row r="21" spans="1:10" x14ac:dyDescent="0.2">
      <c r="A21" s="13" t="s">
        <v>119</v>
      </c>
      <c r="C21" s="23">
        <f t="shared" ref="C21:J21" si="3">SUM(C17:C20)</f>
        <v>1030.6999999999998</v>
      </c>
      <c r="D21" s="23">
        <f t="shared" si="3"/>
        <v>1168.8</v>
      </c>
      <c r="E21" s="23">
        <f t="shared" si="3"/>
        <v>1188.2</v>
      </c>
      <c r="F21" s="23">
        <f t="shared" si="3"/>
        <v>1305.6244243742531</v>
      </c>
      <c r="G21" s="23">
        <f t="shared" si="3"/>
        <v>1458.2499620791118</v>
      </c>
      <c r="H21" s="23">
        <f t="shared" si="3"/>
        <v>1628.2810393644722</v>
      </c>
      <c r="I21" s="23">
        <f t="shared" si="3"/>
        <v>1807.4052675215416</v>
      </c>
      <c r="J21" s="23">
        <f t="shared" si="3"/>
        <v>2002.8738159528925</v>
      </c>
    </row>
    <row r="22" spans="1:10" x14ac:dyDescent="0.2">
      <c r="A22" s="15" t="s">
        <v>77</v>
      </c>
      <c r="C22" s="18">
        <v>3804</v>
      </c>
      <c r="D22" s="18">
        <v>4263</v>
      </c>
      <c r="E22" s="18">
        <v>4773</v>
      </c>
      <c r="F22" s="18">
        <f>Assumptions!F41*'Income Statement'!F8</f>
        <v>5240.8314406677646</v>
      </c>
      <c r="G22" s="18">
        <f>Assumptions!G41*'Income Statement'!G8</f>
        <v>5853.4767785763343</v>
      </c>
      <c r="H22" s="18">
        <f>Assumptions!H41*'Income Statement'!H8</f>
        <v>6535.9886855933973</v>
      </c>
      <c r="I22" s="18">
        <f>Assumptions!I41*'Income Statement'!I8</f>
        <v>7255.0008832710237</v>
      </c>
      <c r="J22" s="18">
        <f>Assumptions!J41*'Income Statement'!J8</f>
        <v>8039.6198710566459</v>
      </c>
    </row>
    <row r="23" spans="1:10" x14ac:dyDescent="0.2">
      <c r="A23" s="15" t="s">
        <v>120</v>
      </c>
      <c r="C23" s="18">
        <v>148</v>
      </c>
      <c r="D23" s="18">
        <v>117.3</v>
      </c>
      <c r="E23" s="18">
        <v>202.4</v>
      </c>
      <c r="F23" s="18">
        <f>E23</f>
        <v>202.4</v>
      </c>
      <c r="G23" s="18">
        <f>F23</f>
        <v>202.4</v>
      </c>
      <c r="H23" s="18">
        <f>G23</f>
        <v>202.4</v>
      </c>
      <c r="I23" s="18">
        <f>H23</f>
        <v>202.4</v>
      </c>
      <c r="J23" s="18">
        <f>I23</f>
        <v>202.4</v>
      </c>
    </row>
    <row r="24" spans="1:10" x14ac:dyDescent="0.2">
      <c r="A24" s="13" t="s">
        <v>121</v>
      </c>
      <c r="C24" s="23">
        <f t="shared" ref="C24:J24" si="4">C21+C22+C23</f>
        <v>4982.7</v>
      </c>
      <c r="D24" s="23">
        <f t="shared" si="4"/>
        <v>5549.1</v>
      </c>
      <c r="E24" s="23">
        <f t="shared" si="4"/>
        <v>6163.5999999999995</v>
      </c>
      <c r="F24" s="23">
        <f t="shared" si="4"/>
        <v>6748.8558650420173</v>
      </c>
      <c r="G24" s="23">
        <f t="shared" si="4"/>
        <v>7514.1267406554452</v>
      </c>
      <c r="H24" s="23">
        <f t="shared" si="4"/>
        <v>8366.6697249578701</v>
      </c>
      <c r="I24" s="23">
        <f t="shared" si="4"/>
        <v>9264.8061507925649</v>
      </c>
      <c r="J24" s="23">
        <f t="shared" si="4"/>
        <v>10244.893687009539</v>
      </c>
    </row>
    <row r="25" spans="1:10" x14ac:dyDescent="0.2">
      <c r="A25" s="15" t="s">
        <v>122</v>
      </c>
      <c r="C25" s="18">
        <v>3062</v>
      </c>
      <c r="D25" s="18">
        <v>3656</v>
      </c>
      <c r="E25" s="18">
        <v>2831</v>
      </c>
      <c r="F25" s="18">
        <f>E25+'Income Statement'!F27+Assumptions!F29-'Cash Flow'!F24</f>
        <v>3417.1676985270278</v>
      </c>
      <c r="G25" s="18">
        <f>F25+'Income Statement'!G27+Assumptions!G29-'Cash Flow'!G24</f>
        <v>4077.2704355283049</v>
      </c>
      <c r="H25" s="18">
        <f>G25+'Income Statement'!H27+Assumptions!H29-'Cash Flow'!H24</f>
        <v>4812.8194360355128</v>
      </c>
      <c r="I25" s="18">
        <f>H25+'Income Statement'!I27+Assumptions!I29-'Cash Flow'!I24</f>
        <v>5639.7870792486256</v>
      </c>
      <c r="J25" s="18">
        <f>I25+'Income Statement'!J27+Assumptions!J29-'Cash Flow'!J24</f>
        <v>6546.3870084897599</v>
      </c>
    </row>
    <row r="26" spans="1:10" x14ac:dyDescent="0.2">
      <c r="A26" s="13" t="s">
        <v>123</v>
      </c>
      <c r="C26" s="23">
        <f t="shared" ref="C26:J26" si="5">C24+C25</f>
        <v>8044.7</v>
      </c>
      <c r="D26" s="23">
        <f t="shared" si="5"/>
        <v>9205.1</v>
      </c>
      <c r="E26" s="23">
        <f t="shared" si="5"/>
        <v>8994.5999999999985</v>
      </c>
      <c r="F26" s="23">
        <f t="shared" si="5"/>
        <v>10166.023563569044</v>
      </c>
      <c r="G26" s="23">
        <f t="shared" si="5"/>
        <v>11591.397176183749</v>
      </c>
      <c r="H26" s="23">
        <f t="shared" si="5"/>
        <v>13179.489160993384</v>
      </c>
      <c r="I26" s="23">
        <f t="shared" si="5"/>
        <v>14904.593230041191</v>
      </c>
      <c r="J26" s="23">
        <f t="shared" si="5"/>
        <v>16791.280695499299</v>
      </c>
    </row>
    <row r="27" spans="1:10" x14ac:dyDescent="0.2">
      <c r="A27" s="25" t="s">
        <v>124</v>
      </c>
      <c r="C27" s="24">
        <f t="shared" ref="C27:J27" si="6">C15-C26</f>
        <v>0</v>
      </c>
      <c r="D27" s="24">
        <f t="shared" si="6"/>
        <v>0</v>
      </c>
      <c r="E27" s="24">
        <f t="shared" si="6"/>
        <v>0</v>
      </c>
      <c r="F27" s="24">
        <f t="shared" si="6"/>
        <v>0</v>
      </c>
      <c r="G27" s="24">
        <f t="shared" si="6"/>
        <v>0</v>
      </c>
      <c r="H27" s="24">
        <f t="shared" si="6"/>
        <v>0</v>
      </c>
      <c r="I27" s="24">
        <f t="shared" si="6"/>
        <v>0</v>
      </c>
      <c r="J27" s="24">
        <f t="shared" si="6"/>
        <v>0</v>
      </c>
    </row>
    <row r="29" spans="1:10" x14ac:dyDescent="0.2">
      <c r="A29" s="15" t="s">
        <v>125</v>
      </c>
      <c r="C29" s="24">
        <f t="shared" ref="C29:J29" si="7">C5+C6+C12</f>
        <v>1859.9</v>
      </c>
      <c r="D29" s="24">
        <f t="shared" si="7"/>
        <v>2290.9</v>
      </c>
      <c r="E29" s="24">
        <f t="shared" si="7"/>
        <v>1246.3</v>
      </c>
      <c r="F29" s="24">
        <f t="shared" si="7"/>
        <v>1551.0790129436086</v>
      </c>
      <c r="G29" s="24">
        <f t="shared" si="7"/>
        <v>1905.6080619101604</v>
      </c>
      <c r="H29" s="24">
        <f t="shared" si="7"/>
        <v>2316.1317348216121</v>
      </c>
      <c r="I29" s="24">
        <f t="shared" si="7"/>
        <v>2778.5346792849555</v>
      </c>
      <c r="J29" s="24">
        <f t="shared" si="7"/>
        <v>3300.0397515452869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42" customWidth="1"/>
    <col min="2" max="2" width="2" customWidth="1"/>
    <col min="3" max="10" width="11.5" customWidth="1"/>
  </cols>
  <sheetData>
    <row r="1" spans="1:10" ht="18" x14ac:dyDescent="0.2">
      <c r="A1" s="11" t="s">
        <v>126</v>
      </c>
    </row>
    <row r="2" spans="1:10" x14ac:dyDescent="0.2">
      <c r="A2" s="12" t="s">
        <v>127</v>
      </c>
    </row>
    <row r="4" spans="1:10" x14ac:dyDescent="0.2">
      <c r="A4" s="15"/>
      <c r="C4" s="14" t="s">
        <v>35</v>
      </c>
      <c r="D4" s="14" t="s">
        <v>36</v>
      </c>
      <c r="E4" s="14" t="s">
        <v>37</v>
      </c>
      <c r="F4" s="14" t="s">
        <v>38</v>
      </c>
      <c r="G4" s="14" t="s">
        <v>39</v>
      </c>
      <c r="H4" s="14" t="s">
        <v>40</v>
      </c>
      <c r="I4" s="14" t="s">
        <v>41</v>
      </c>
      <c r="J4" s="14" t="s">
        <v>42</v>
      </c>
    </row>
    <row r="5" spans="1:10" x14ac:dyDescent="0.2">
      <c r="A5" s="15" t="s">
        <v>100</v>
      </c>
      <c r="C5" s="18">
        <f>'Income Statement'!C27</f>
        <v>1229.4000000000021</v>
      </c>
      <c r="D5" s="18">
        <f>'Income Statement'!D27</f>
        <v>1533.8999999999996</v>
      </c>
      <c r="E5" s="18">
        <f>'Income Statement'!E27</f>
        <v>1535.8000000000011</v>
      </c>
      <c r="F5" s="18">
        <f>'Income Statement'!F27</f>
        <v>1685.2837503014625</v>
      </c>
      <c r="G5" s="18">
        <f>'Income Statement'!G27</f>
        <v>1953.2189328674845</v>
      </c>
      <c r="H5" s="18">
        <f>'Income Statement'!H27</f>
        <v>2247.6436921530162</v>
      </c>
      <c r="I5" s="18">
        <f>'Income Statement'!I27</f>
        <v>2541.5794210664853</v>
      </c>
      <c r="J5" s="18">
        <f>'Income Statement'!J27</f>
        <v>2852.6202182824627</v>
      </c>
    </row>
    <row r="6" spans="1:10" x14ac:dyDescent="0.2">
      <c r="A6" s="15" t="s">
        <v>57</v>
      </c>
      <c r="C6" s="18">
        <f>'Income Statement'!C18</f>
        <v>319.39999999999998</v>
      </c>
      <c r="D6" s="18">
        <f>'Income Statement'!D18</f>
        <v>335</v>
      </c>
      <c r="E6" s="18">
        <f>'Income Statement'!E18</f>
        <v>361.4</v>
      </c>
      <c r="F6" s="18">
        <f>'Income Statement'!F18</f>
        <v>405.96145592378986</v>
      </c>
      <c r="G6" s="18">
        <f>'Income Statement'!G18</f>
        <v>453.41774146893141</v>
      </c>
      <c r="H6" s="18">
        <f>'Income Statement'!H18</f>
        <v>506.28598014341662</v>
      </c>
      <c r="I6" s="18">
        <f>'Income Statement'!I18</f>
        <v>561.98157766467193</v>
      </c>
      <c r="J6" s="18">
        <f>'Income Statement'!J18</f>
        <v>622.75916042667677</v>
      </c>
    </row>
    <row r="7" spans="1:10" x14ac:dyDescent="0.2">
      <c r="A7" s="15" t="s">
        <v>128</v>
      </c>
      <c r="C7" s="18">
        <f>Assumptions!C29</f>
        <v>124</v>
      </c>
      <c r="D7" s="18">
        <f>Assumptions!D29</f>
        <v>131.69999999999999</v>
      </c>
      <c r="E7" s="18">
        <f>Assumptions!E29</f>
        <v>119.5</v>
      </c>
      <c r="F7" s="18">
        <f>Assumptions!F29</f>
        <v>120</v>
      </c>
      <c r="G7" s="18">
        <f>Assumptions!G29</f>
        <v>125</v>
      </c>
      <c r="H7" s="18">
        <f>Assumptions!H29</f>
        <v>130</v>
      </c>
      <c r="I7" s="18">
        <f>Assumptions!I29</f>
        <v>135</v>
      </c>
      <c r="J7" s="18">
        <f>Assumptions!J29</f>
        <v>140</v>
      </c>
    </row>
    <row r="8" spans="1:10" x14ac:dyDescent="0.2">
      <c r="A8" s="15" t="s">
        <v>129</v>
      </c>
      <c r="F8" s="18">
        <f>'Balance Sheet'!E7-'Balance Sheet'!F7</f>
        <v>-15.051453954891855</v>
      </c>
      <c r="G8" s="18">
        <f>'Balance Sheet'!F7-'Balance Sheet'!G7</f>
        <v>-20.054107762624341</v>
      </c>
      <c r="H8" s="18">
        <f>'Balance Sheet'!G7-'Balance Sheet'!H7</f>
        <v>-22.341094407605027</v>
      </c>
      <c r="I8" s="18">
        <f>'Balance Sheet'!H7-'Balance Sheet'!I7</f>
        <v>-23.535881533175655</v>
      </c>
      <c r="J8" s="18">
        <f>'Balance Sheet'!I7-'Balance Sheet'!J7</f>
        <v>-25.683430134911674</v>
      </c>
    </row>
    <row r="9" spans="1:10" x14ac:dyDescent="0.2">
      <c r="A9" s="15" t="s">
        <v>130</v>
      </c>
      <c r="F9" s="18">
        <f>'Balance Sheet'!E8-'Balance Sheet'!F8</f>
        <v>-4.8464529704428401</v>
      </c>
      <c r="G9" s="18">
        <f>'Balance Sheet'!F8-'Balance Sheet'!G8</f>
        <v>-6.3530188713657267</v>
      </c>
      <c r="H9" s="18">
        <f>'Balance Sheet'!G8-'Balance Sheet'!H8</f>
        <v>-7.0775222741649415</v>
      </c>
      <c r="I9" s="18">
        <f>'Balance Sheet'!H8-'Balance Sheet'!I8</f>
        <v>-7.4560235391357992</v>
      </c>
      <c r="J9" s="18">
        <f>'Balance Sheet'!I8-'Balance Sheet'!J8</f>
        <v>-8.1363538213651623</v>
      </c>
    </row>
    <row r="10" spans="1:10" x14ac:dyDescent="0.2">
      <c r="A10" s="15" t="s">
        <v>131</v>
      </c>
      <c r="F10" s="18">
        <f>'Balance Sheet'!E9-'Balance Sheet'!F9</f>
        <v>-21.300448885272885</v>
      </c>
      <c r="G10" s="18">
        <f>'Balance Sheet'!F9-'Balance Sheet'!G9</f>
        <v>-27.249092990436111</v>
      </c>
      <c r="H10" s="18">
        <f>'Balance Sheet'!G9-'Balance Sheet'!H9</f>
        <v>-30.356601561478612</v>
      </c>
      <c r="I10" s="18">
        <f>'Balance Sheet'!H9-'Balance Sheet'!I9</f>
        <v>-31.980052770269197</v>
      </c>
      <c r="J10" s="18">
        <f>'Balance Sheet'!I9-'Balance Sheet'!J9</f>
        <v>-34.898095908505923</v>
      </c>
    </row>
    <row r="11" spans="1:10" x14ac:dyDescent="0.2">
      <c r="A11" s="15" t="s">
        <v>132</v>
      </c>
      <c r="F11" s="18">
        <f>'Balance Sheet'!F17-'Balance Sheet'!E17</f>
        <v>20.300448885272885</v>
      </c>
      <c r="G11" s="18">
        <f>'Balance Sheet'!G17-'Balance Sheet'!F17</f>
        <v>27.249092990436111</v>
      </c>
      <c r="H11" s="18">
        <f>'Balance Sheet'!H17-'Balance Sheet'!G17</f>
        <v>30.356601561478612</v>
      </c>
      <c r="I11" s="18">
        <f>'Balance Sheet'!I17-'Balance Sheet'!H17</f>
        <v>31.980052770269197</v>
      </c>
      <c r="J11" s="18">
        <f>'Balance Sheet'!J17-'Balance Sheet'!I17</f>
        <v>34.898095908505923</v>
      </c>
    </row>
    <row r="12" spans="1:10" x14ac:dyDescent="0.2">
      <c r="A12" s="15" t="s">
        <v>133</v>
      </c>
      <c r="F12" s="18">
        <f>'Balance Sheet'!F18-'Balance Sheet'!E18</f>
        <v>42.767769355921644</v>
      </c>
      <c r="G12" s="18">
        <f>'Balance Sheet'!G18-'Balance Sheet'!F18</f>
        <v>55.569779525439969</v>
      </c>
      <c r="H12" s="18">
        <f>'Balance Sheet'!H18-'Balance Sheet'!G18</f>
        <v>61.90700206076815</v>
      </c>
      <c r="I12" s="18">
        <f>'Balance Sheet'!I18-'Balance Sheet'!H18</f>
        <v>65.217748065211936</v>
      </c>
      <c r="J12" s="18">
        <f>'Balance Sheet'!J18-'Balance Sheet'!I18</f>
        <v>71.168588847121669</v>
      </c>
    </row>
    <row r="13" spans="1:10" x14ac:dyDescent="0.2">
      <c r="A13" s="15" t="s">
        <v>134</v>
      </c>
      <c r="F13" s="18">
        <f>'Balance Sheet'!F19-'Balance Sheet'!E19</f>
        <v>24.129722892275964</v>
      </c>
      <c r="G13" s="18">
        <f>'Balance Sheet'!G19-'Balance Sheet'!F19</f>
        <v>30.923128000382576</v>
      </c>
      <c r="H13" s="18">
        <f>'Balance Sheet'!H19-'Balance Sheet'!G19</f>
        <v>34.449626491116135</v>
      </c>
      <c r="I13" s="18">
        <f>'Balance Sheet'!I19-'Balance Sheet'!H19</f>
        <v>36.291969997721253</v>
      </c>
      <c r="J13" s="18">
        <f>'Balance Sheet'!J19-'Balance Sheet'!I19</f>
        <v>39.60345715459664</v>
      </c>
    </row>
    <row r="14" spans="1:10" x14ac:dyDescent="0.2">
      <c r="A14" s="13" t="s">
        <v>135</v>
      </c>
      <c r="F14" s="23">
        <f>SUM(F5:F13)</f>
        <v>2257.2447915481152</v>
      </c>
      <c r="G14" s="23">
        <f>SUM(G5:G13)</f>
        <v>2591.7224552282487</v>
      </c>
      <c r="H14" s="23">
        <f>SUM(H5:H13)</f>
        <v>2950.8676841665474</v>
      </c>
      <c r="I14" s="23">
        <f>SUM(I5:I13)</f>
        <v>3309.0788117217789</v>
      </c>
      <c r="J14" s="23">
        <f>SUM(J5:J13)</f>
        <v>3692.3316407545808</v>
      </c>
    </row>
    <row r="15" spans="1:10" x14ac:dyDescent="0.2">
      <c r="A15" s="15" t="s">
        <v>136</v>
      </c>
      <c r="F15" s="18">
        <f>-Assumptions!F28*'Income Statement'!F8</f>
        <v>-733.34972683007209</v>
      </c>
      <c r="G15" s="18">
        <f>-Assumptions!G28*'Income Statement'!G8</f>
        <v>-819.07721039548903</v>
      </c>
      <c r="H15" s="18">
        <f>-Assumptions!H28*'Income Statement'!H8</f>
        <v>-898.24931960928757</v>
      </c>
      <c r="I15" s="18">
        <f>-Assumptions!I28*'Income Statement'!I8</f>
        <v>-997.06408940506321</v>
      </c>
      <c r="J15" s="18">
        <f>-Assumptions!J28*'Income Statement'!J8</f>
        <v>-1084.8062794529208</v>
      </c>
    </row>
    <row r="16" spans="1:10" x14ac:dyDescent="0.2">
      <c r="A16" s="13" t="s">
        <v>137</v>
      </c>
      <c r="F16" s="23">
        <f>F15</f>
        <v>-733.34972683007209</v>
      </c>
      <c r="G16" s="23">
        <f>G15</f>
        <v>-819.07721039548903</v>
      </c>
      <c r="H16" s="23">
        <f>H15</f>
        <v>-898.24931960928757</v>
      </c>
      <c r="I16" s="23">
        <f>I15</f>
        <v>-997.06408940506321</v>
      </c>
      <c r="J16" s="23">
        <f>J15</f>
        <v>-1084.8062794529208</v>
      </c>
    </row>
    <row r="17" spans="1:10" x14ac:dyDescent="0.2">
      <c r="A17" s="15" t="s">
        <v>138</v>
      </c>
      <c r="F17" s="18">
        <f>-Assumptions!F30*(F14+F15)</f>
        <v>-1219.1160517744345</v>
      </c>
      <c r="G17" s="18">
        <f>-Assumptions!G30*(G14+G15)</f>
        <v>-1418.1161958662078</v>
      </c>
      <c r="H17" s="18">
        <f>-Assumptions!H30*(H14+H15)</f>
        <v>-1642.0946916458081</v>
      </c>
      <c r="I17" s="18">
        <f>-Assumptions!I30*(I14+I15)</f>
        <v>-1849.6117778533728</v>
      </c>
      <c r="J17" s="18">
        <f>-Assumptions!J30*(J14+J15)</f>
        <v>-2086.0202890413284</v>
      </c>
    </row>
    <row r="18" spans="1:10" x14ac:dyDescent="0.2">
      <c r="A18" s="13" t="s">
        <v>139</v>
      </c>
      <c r="F18" s="23">
        <f>F17</f>
        <v>-1219.1160517744345</v>
      </c>
      <c r="G18" s="23">
        <f>G17</f>
        <v>-1418.1161958662078</v>
      </c>
      <c r="H18" s="23">
        <f>H17</f>
        <v>-1642.0946916458081</v>
      </c>
      <c r="I18" s="23">
        <f>I17</f>
        <v>-1849.6117778533728</v>
      </c>
      <c r="J18" s="23">
        <f>J17</f>
        <v>-2086.0202890413284</v>
      </c>
    </row>
    <row r="19" spans="1:10" x14ac:dyDescent="0.2">
      <c r="A19" s="13" t="s">
        <v>140</v>
      </c>
      <c r="F19" s="22">
        <f>F14+F16+F18</f>
        <v>304.77901294360868</v>
      </c>
      <c r="G19" s="22">
        <f>G14+G16+G18</f>
        <v>354.52904896655173</v>
      </c>
      <c r="H19" s="22">
        <f>H14+H16+H18</f>
        <v>410.52367291145197</v>
      </c>
      <c r="I19" s="22">
        <f>I14+I16+I18</f>
        <v>462.40294446334315</v>
      </c>
      <c r="J19" s="22">
        <f>J14+J16+J18</f>
        <v>521.50507226033187</v>
      </c>
    </row>
    <row r="20" spans="1:10" x14ac:dyDescent="0.2">
      <c r="A20" s="15" t="s">
        <v>141</v>
      </c>
      <c r="F20" s="18">
        <f>'Balance Sheet'!E5</f>
        <v>350.6</v>
      </c>
      <c r="G20" s="18">
        <f>'Balance Sheet'!F5</f>
        <v>655.3790129436087</v>
      </c>
      <c r="H20" s="18">
        <f>'Balance Sheet'!G5</f>
        <v>1009.9080619101604</v>
      </c>
      <c r="I20" s="18">
        <f>'Balance Sheet'!H5</f>
        <v>1420.4317348216123</v>
      </c>
      <c r="J20" s="18">
        <f>'Balance Sheet'!I5</f>
        <v>1882.8346792849554</v>
      </c>
    </row>
    <row r="21" spans="1:10" x14ac:dyDescent="0.2">
      <c r="A21" s="13" t="s">
        <v>142</v>
      </c>
      <c r="F21" s="22">
        <f>F20+F19</f>
        <v>655.3790129436087</v>
      </c>
      <c r="G21" s="22">
        <f>G20+G19</f>
        <v>1009.9080619101604</v>
      </c>
      <c r="H21" s="22">
        <f>H20+H19</f>
        <v>1420.4317348216123</v>
      </c>
      <c r="I21" s="22">
        <f>I20+I19</f>
        <v>1882.8346792849554</v>
      </c>
      <c r="J21" s="22">
        <f>J20+J19</f>
        <v>2404.3397515452871</v>
      </c>
    </row>
    <row r="23" spans="1:10" x14ac:dyDescent="0.2">
      <c r="A23" s="2" t="s">
        <v>143</v>
      </c>
      <c r="F23" s="24">
        <f>F14+F15</f>
        <v>1523.8950647180432</v>
      </c>
      <c r="G23" s="24">
        <f>G14+G15</f>
        <v>1772.6452448327595</v>
      </c>
      <c r="H23" s="24">
        <f>H14+H15</f>
        <v>2052.6183645572601</v>
      </c>
      <c r="I23" s="24">
        <f>I14+I15</f>
        <v>2312.014722316716</v>
      </c>
      <c r="J23" s="24">
        <f>J14+J15</f>
        <v>2607.5253613016603</v>
      </c>
    </row>
    <row r="24" spans="1:10" x14ac:dyDescent="0.2">
      <c r="A24" s="2" t="s">
        <v>144</v>
      </c>
      <c r="F24" s="24">
        <f>-F17</f>
        <v>1219.1160517744345</v>
      </c>
      <c r="G24" s="24">
        <f>-G17</f>
        <v>1418.1161958662078</v>
      </c>
      <c r="H24" s="24">
        <f>-H17</f>
        <v>1642.0946916458081</v>
      </c>
      <c r="I24" s="24">
        <f>-I17</f>
        <v>1849.6117778533728</v>
      </c>
      <c r="J24" s="24">
        <f>-J17</f>
        <v>2086.0202890413284</v>
      </c>
    </row>
    <row r="26" spans="1:10" x14ac:dyDescent="0.2">
      <c r="A26" s="13" t="s">
        <v>145</v>
      </c>
    </row>
    <row r="27" spans="1:10" x14ac:dyDescent="0.2">
      <c r="A27" s="15" t="s">
        <v>146</v>
      </c>
      <c r="F27" s="16">
        <v>1300</v>
      </c>
      <c r="G27" s="16">
        <f>F29</f>
        <v>1260.0813342575495</v>
      </c>
      <c r="H27" s="16">
        <f>G29</f>
        <v>1213.6466192652049</v>
      </c>
      <c r="I27" s="16">
        <f>H29</f>
        <v>1159.8779653147856</v>
      </c>
      <c r="J27" s="16">
        <f>I29</f>
        <v>1099.314383852658</v>
      </c>
    </row>
    <row r="28" spans="1:10" x14ac:dyDescent="0.2">
      <c r="A28" s="15" t="s">
        <v>147</v>
      </c>
      <c r="F28" s="16">
        <f>F24/Assumptions!F31</f>
        <v>39.918665742450379</v>
      </c>
      <c r="G28" s="16">
        <f>G24/Assumptions!G31</f>
        <v>46.434714992344723</v>
      </c>
      <c r="H28" s="16">
        <f>H24/Assumptions!H31</f>
        <v>53.768653950419392</v>
      </c>
      <c r="I28" s="16">
        <f>I24/Assumptions!I31</f>
        <v>60.563581462127466</v>
      </c>
      <c r="J28" s="16">
        <f>J24/Assumptions!J31</f>
        <v>68.304528128399753</v>
      </c>
    </row>
    <row r="29" spans="1:10" x14ac:dyDescent="0.2">
      <c r="A29" s="13" t="s">
        <v>148</v>
      </c>
      <c r="F29" s="26">
        <f>F27-F28</f>
        <v>1260.0813342575495</v>
      </c>
      <c r="G29" s="26">
        <f>G27-G28</f>
        <v>1213.6466192652049</v>
      </c>
      <c r="H29" s="26">
        <f>H27-H28</f>
        <v>1159.8779653147856</v>
      </c>
      <c r="I29" s="26">
        <f>I27-I28</f>
        <v>1099.314383852658</v>
      </c>
      <c r="J29" s="26">
        <f>J27-J28</f>
        <v>1031.0098557242582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68"/>
  <sheetViews>
    <sheetView zoomScaleNormal="100" workbookViewId="0"/>
  </sheetViews>
  <sheetFormatPr baseColWidth="10" defaultColWidth="8.6640625" defaultRowHeight="15" x14ac:dyDescent="0.2"/>
  <cols>
    <col min="1" max="1" width="2" customWidth="1"/>
    <col min="2" max="2" width="40" customWidth="1"/>
    <col min="3" max="3" width="13" customWidth="1"/>
    <col min="4" max="4" width="2" customWidth="1"/>
    <col min="5" max="5" width="11" customWidth="1"/>
    <col min="6" max="10" width="11.5" customWidth="1"/>
  </cols>
  <sheetData>
    <row r="1" spans="2:10" ht="18" x14ac:dyDescent="0.2">
      <c r="B1" s="11" t="s">
        <v>149</v>
      </c>
    </row>
    <row r="2" spans="2:10" x14ac:dyDescent="0.2">
      <c r="B2" s="12" t="s">
        <v>150</v>
      </c>
    </row>
    <row r="3" spans="2:10" x14ac:dyDescent="0.2">
      <c r="B3" s="13" t="s">
        <v>151</v>
      </c>
      <c r="C3" s="15"/>
    </row>
    <row r="4" spans="2:10" x14ac:dyDescent="0.2">
      <c r="B4" s="15" t="s">
        <v>152</v>
      </c>
      <c r="C4" s="19">
        <v>4.48E-2</v>
      </c>
    </row>
    <row r="5" spans="2:10" x14ac:dyDescent="0.2">
      <c r="B5" s="15" t="s">
        <v>153</v>
      </c>
      <c r="C5" s="19">
        <v>0.05</v>
      </c>
    </row>
    <row r="6" spans="2:10" x14ac:dyDescent="0.2">
      <c r="B6" s="15" t="s">
        <v>154</v>
      </c>
      <c r="C6" s="27">
        <v>0.98</v>
      </c>
    </row>
    <row r="7" spans="2:10" x14ac:dyDescent="0.2">
      <c r="B7" s="13" t="s">
        <v>155</v>
      </c>
      <c r="C7" s="19">
        <f>C4+C6*C5</f>
        <v>9.3799999999999994E-2</v>
      </c>
    </row>
    <row r="8" spans="2:10" x14ac:dyDescent="0.2">
      <c r="B8" s="15" t="s">
        <v>156</v>
      </c>
      <c r="C8" s="19">
        <v>0.05</v>
      </c>
    </row>
    <row r="9" spans="2:10" x14ac:dyDescent="0.2">
      <c r="B9" s="15" t="s">
        <v>157</v>
      </c>
      <c r="C9" s="19">
        <v>0.24</v>
      </c>
    </row>
    <row r="10" spans="2:10" x14ac:dyDescent="0.2">
      <c r="B10" s="15" t="s">
        <v>158</v>
      </c>
      <c r="C10" s="19">
        <f>C8*(1-C9)</f>
        <v>3.8000000000000006E-2</v>
      </c>
    </row>
    <row r="11" spans="2:10" x14ac:dyDescent="0.2">
      <c r="B11" s="15" t="s">
        <v>159</v>
      </c>
      <c r="C11" s="19">
        <v>1</v>
      </c>
    </row>
    <row r="12" spans="2:10" x14ac:dyDescent="0.2">
      <c r="B12" s="15" t="s">
        <v>160</v>
      </c>
      <c r="C12" s="19">
        <v>0</v>
      </c>
    </row>
    <row r="13" spans="2:10" x14ac:dyDescent="0.2">
      <c r="B13" s="13" t="s">
        <v>161</v>
      </c>
      <c r="C13" s="7">
        <f>C11*C7+C12*C10</f>
        <v>9.3799999999999994E-2</v>
      </c>
    </row>
    <row r="15" spans="2:10" x14ac:dyDescent="0.2">
      <c r="B15" s="13" t="s">
        <v>162</v>
      </c>
      <c r="F15" s="28" t="s">
        <v>38</v>
      </c>
      <c r="G15" s="28" t="s">
        <v>39</v>
      </c>
      <c r="H15" s="28" t="s">
        <v>40</v>
      </c>
      <c r="I15" s="28" t="s">
        <v>41</v>
      </c>
      <c r="J15" s="28" t="s">
        <v>42</v>
      </c>
    </row>
    <row r="16" spans="2:10" x14ac:dyDescent="0.2">
      <c r="B16" s="15" t="s">
        <v>163</v>
      </c>
      <c r="F16" s="18">
        <f>'Income Statement'!F22</f>
        <v>2173.8581188177141</v>
      </c>
      <c r="G16" s="18">
        <f>'Income Statement'!G22</f>
        <v>2515.7371462147166</v>
      </c>
      <c r="H16" s="18">
        <f>'Income Statement'!H22</f>
        <v>2890.7296285607972</v>
      </c>
      <c r="I16" s="18">
        <f>'Income Statement'!I22</f>
        <v>3263.1188380529347</v>
      </c>
      <c r="J16" s="18">
        <f>'Income Statement'!J22</f>
        <v>3656.1989418598459</v>
      </c>
    </row>
    <row r="17" spans="2:10" x14ac:dyDescent="0.2">
      <c r="B17" s="15" t="s">
        <v>164</v>
      </c>
      <c r="F17" s="18">
        <f>-F16*$C$9</f>
        <v>-521.72594851625138</v>
      </c>
      <c r="G17" s="18">
        <f>-G16*$C$9</f>
        <v>-603.77691509153192</v>
      </c>
      <c r="H17" s="18">
        <f>-H16*$C$9</f>
        <v>-693.77511085459128</v>
      </c>
      <c r="I17" s="18">
        <f>-I16*$C$9</f>
        <v>-783.14852113270433</v>
      </c>
      <c r="J17" s="18">
        <f>-J16*$C$9</f>
        <v>-877.48774604636299</v>
      </c>
    </row>
    <row r="18" spans="2:10" x14ac:dyDescent="0.2">
      <c r="B18" s="13" t="s">
        <v>165</v>
      </c>
      <c r="F18" s="23">
        <f>F16+F17</f>
        <v>1652.1321703014628</v>
      </c>
      <c r="G18" s="23">
        <f>G16+G17</f>
        <v>1911.9602311231847</v>
      </c>
      <c r="H18" s="23">
        <f>H16+H17</f>
        <v>2196.9545177062059</v>
      </c>
      <c r="I18" s="23">
        <f>I16+I17</f>
        <v>2479.9703169202303</v>
      </c>
      <c r="J18" s="23">
        <f>J16+J17</f>
        <v>2778.7111958134828</v>
      </c>
    </row>
    <row r="19" spans="2:10" x14ac:dyDescent="0.2">
      <c r="B19" s="15" t="s">
        <v>166</v>
      </c>
      <c r="F19" s="18">
        <f>'Income Statement'!F18</f>
        <v>405.96145592378986</v>
      </c>
      <c r="G19" s="18">
        <f>'Income Statement'!G18</f>
        <v>453.41774146893141</v>
      </c>
      <c r="H19" s="18">
        <f>'Income Statement'!H18</f>
        <v>506.28598014341662</v>
      </c>
      <c r="I19" s="18">
        <f>'Income Statement'!I18</f>
        <v>561.98157766467193</v>
      </c>
      <c r="J19" s="18">
        <f>'Income Statement'!J18</f>
        <v>622.75916042667677</v>
      </c>
    </row>
    <row r="20" spans="2:10" x14ac:dyDescent="0.2">
      <c r="B20" s="15" t="s">
        <v>167</v>
      </c>
      <c r="F20" s="18">
        <f>-Assumptions!F28*'Income Statement'!F8</f>
        <v>-733.34972683007209</v>
      </c>
      <c r="G20" s="18">
        <f>-Assumptions!G28*'Income Statement'!G8</f>
        <v>-819.07721039548903</v>
      </c>
      <c r="H20" s="18">
        <f>-Assumptions!H28*'Income Statement'!H8</f>
        <v>-898.24931960928757</v>
      </c>
      <c r="I20" s="18">
        <f>-Assumptions!I28*'Income Statement'!I8</f>
        <v>-997.06408940506321</v>
      </c>
      <c r="J20" s="18">
        <f>-Assumptions!J28*'Income Statement'!J8</f>
        <v>-1084.8062794529208</v>
      </c>
    </row>
    <row r="21" spans="2:10" x14ac:dyDescent="0.2">
      <c r="B21" s="15" t="s">
        <v>168</v>
      </c>
      <c r="F21" s="18">
        <f>'Cash Flow'!F8+'Cash Flow'!F9+'Cash Flow'!F10+'Cash Flow'!F11+'Cash Flow'!F12+'Cash Flow'!F13</f>
        <v>45.999585322862913</v>
      </c>
      <c r="G21" s="18">
        <f>'Cash Flow'!G8+'Cash Flow'!G9+'Cash Flow'!G10+'Cash Flow'!G11+'Cash Flow'!G12+'Cash Flow'!G13</f>
        <v>60.085780891832478</v>
      </c>
      <c r="H21" s="18">
        <f>'Cash Flow'!H8+'Cash Flow'!H9+'Cash Flow'!H10+'Cash Flow'!H11+'Cash Flow'!H12+'Cash Flow'!H13</f>
        <v>66.938011870114309</v>
      </c>
      <c r="I21" s="18">
        <f>'Cash Flow'!I8+'Cash Flow'!I9+'Cash Flow'!I10+'Cash Flow'!I11+'Cash Flow'!I12+'Cash Flow'!I13</f>
        <v>70.517812990621735</v>
      </c>
      <c r="J21" s="18">
        <f>'Cash Flow'!J8+'Cash Flow'!J9+'Cash Flow'!J10+'Cash Flow'!J11+'Cash Flow'!J12+'Cash Flow'!J13</f>
        <v>76.952262045441472</v>
      </c>
    </row>
    <row r="22" spans="2:10" x14ac:dyDescent="0.2">
      <c r="B22" s="13" t="s">
        <v>169</v>
      </c>
      <c r="F22" s="23">
        <f>F18+F19+F20+F21</f>
        <v>1370.7434847180434</v>
      </c>
      <c r="G22" s="23">
        <f>G18+G19+G20+G21</f>
        <v>1606.3865430884596</v>
      </c>
      <c r="H22" s="23">
        <f>H18+H19+H20+H21</f>
        <v>1871.9291901104491</v>
      </c>
      <c r="I22" s="23">
        <f>I18+I19+I20+I21</f>
        <v>2115.4056181704609</v>
      </c>
      <c r="J22" s="23">
        <f>J18+J19+J20+J21</f>
        <v>2393.61633883268</v>
      </c>
    </row>
    <row r="23" spans="2:10" x14ac:dyDescent="0.2">
      <c r="B23" s="15" t="s">
        <v>170</v>
      </c>
      <c r="F23" s="29">
        <v>0.5</v>
      </c>
      <c r="G23" s="29">
        <v>1.5</v>
      </c>
      <c r="H23" s="29">
        <v>2.5</v>
      </c>
      <c r="I23" s="29">
        <v>3.5</v>
      </c>
      <c r="J23" s="29">
        <v>4.5</v>
      </c>
    </row>
    <row r="24" spans="2:10" x14ac:dyDescent="0.2">
      <c r="B24" s="15" t="s">
        <v>171</v>
      </c>
      <c r="F24" s="30">
        <f>1/(1+$C$13)^F23</f>
        <v>0.95616103260796514</v>
      </c>
      <c r="G24" s="30">
        <f>1/(1+$C$13)^G23</f>
        <v>0.87416441086850005</v>
      </c>
      <c r="H24" s="30">
        <f>1/(1+$C$13)^H23</f>
        <v>0.79919949795986478</v>
      </c>
      <c r="I24" s="30">
        <f>1/(1+$C$13)^I23</f>
        <v>0.73066328209898046</v>
      </c>
      <c r="J24" s="30">
        <f>1/(1+$C$13)^J23</f>
        <v>0.66800446342931119</v>
      </c>
    </row>
    <row r="25" spans="2:10" x14ac:dyDescent="0.2">
      <c r="B25" s="15" t="s">
        <v>172</v>
      </c>
      <c r="F25" s="18">
        <f>F22*F24</f>
        <v>1310.651505788645</v>
      </c>
      <c r="G25" s="18">
        <f>G22*G24</f>
        <v>1404.2459460660095</v>
      </c>
      <c r="H25" s="18">
        <f>H22*H24</f>
        <v>1496.0448689526872</v>
      </c>
      <c r="I25" s="18">
        <f>I22*I24</f>
        <v>1545.6492119430516</v>
      </c>
      <c r="J25" s="18">
        <f>J22*J24</f>
        <v>1598.9463980775568</v>
      </c>
    </row>
    <row r="27" spans="2:10" x14ac:dyDescent="0.2">
      <c r="B27" s="13" t="s">
        <v>173</v>
      </c>
      <c r="C27" s="22">
        <f>SUM(F25:J25)</f>
        <v>7355.5379308279498</v>
      </c>
    </row>
    <row r="28" spans="2:10" x14ac:dyDescent="0.2">
      <c r="B28" s="13" t="s">
        <v>174</v>
      </c>
      <c r="C28" s="15"/>
    </row>
    <row r="29" spans="2:10" x14ac:dyDescent="0.2">
      <c r="B29" s="15" t="s">
        <v>175</v>
      </c>
      <c r="C29" s="19">
        <v>0.03</v>
      </c>
    </row>
    <row r="30" spans="2:10" x14ac:dyDescent="0.2">
      <c r="B30" s="15" t="s">
        <v>176</v>
      </c>
      <c r="C30" s="18">
        <f>J22*(1+C29)</f>
        <v>2465.4248289976604</v>
      </c>
    </row>
    <row r="31" spans="2:10" x14ac:dyDescent="0.2">
      <c r="B31" s="15" t="s">
        <v>177</v>
      </c>
      <c r="C31" s="18">
        <f>C30/($C$13-C29)</f>
        <v>38643.022398082452</v>
      </c>
    </row>
    <row r="32" spans="2:10" x14ac:dyDescent="0.2">
      <c r="B32" s="15" t="s">
        <v>178</v>
      </c>
      <c r="C32" s="18">
        <f>C31/(1+$C$13)^5</f>
        <v>24682.064988130747</v>
      </c>
    </row>
    <row r="33" spans="2:3" x14ac:dyDescent="0.2">
      <c r="B33" s="13" t="s">
        <v>179</v>
      </c>
      <c r="C33" s="22">
        <f>C27+C32</f>
        <v>32037.602918958699</v>
      </c>
    </row>
    <row r="34" spans="2:3" x14ac:dyDescent="0.2">
      <c r="B34" s="13" t="s">
        <v>180</v>
      </c>
      <c r="C34" s="15"/>
    </row>
    <row r="35" spans="2:3" x14ac:dyDescent="0.2">
      <c r="B35" s="15" t="s">
        <v>181</v>
      </c>
      <c r="C35" s="31">
        <v>18</v>
      </c>
    </row>
    <row r="36" spans="2:3" x14ac:dyDescent="0.2">
      <c r="B36" s="15" t="s">
        <v>182</v>
      </c>
      <c r="C36" s="18">
        <f>'Income Statement'!J32</f>
        <v>4278.9581022865223</v>
      </c>
    </row>
    <row r="37" spans="2:3" x14ac:dyDescent="0.2">
      <c r="B37" s="15" t="s">
        <v>183</v>
      </c>
      <c r="C37" s="18">
        <f>C35*C36</f>
        <v>77021.245841157404</v>
      </c>
    </row>
    <row r="38" spans="2:3" x14ac:dyDescent="0.2">
      <c r="B38" s="15" t="s">
        <v>184</v>
      </c>
      <c r="C38" s="18">
        <f>C37/(1+$C$13)^5</f>
        <v>49194.99763073853</v>
      </c>
    </row>
    <row r="39" spans="2:3" x14ac:dyDescent="0.2">
      <c r="B39" s="13" t="s">
        <v>185</v>
      </c>
      <c r="C39" s="22">
        <f>C27+C38</f>
        <v>56550.535561566481</v>
      </c>
    </row>
    <row r="41" spans="2:3" x14ac:dyDescent="0.2">
      <c r="B41" s="13" t="s">
        <v>186</v>
      </c>
      <c r="C41" s="15"/>
    </row>
    <row r="42" spans="2:3" x14ac:dyDescent="0.2">
      <c r="B42" s="15" t="s">
        <v>187</v>
      </c>
      <c r="C42" s="18">
        <f>'Balance Sheet'!E5+'Balance Sheet'!E6+'Balance Sheet'!E12</f>
        <v>1246.3</v>
      </c>
    </row>
    <row r="43" spans="2:3" x14ac:dyDescent="0.2">
      <c r="B43" s="15" t="s">
        <v>188</v>
      </c>
      <c r="C43" s="16">
        <v>1280</v>
      </c>
    </row>
    <row r="44" spans="2:3" x14ac:dyDescent="0.2">
      <c r="B44" s="15" t="s">
        <v>189</v>
      </c>
      <c r="C44" s="21">
        <v>30.54</v>
      </c>
    </row>
    <row r="45" spans="2:3" x14ac:dyDescent="0.2">
      <c r="B45" s="15" t="s">
        <v>190</v>
      </c>
      <c r="C45" s="18">
        <f>C33+C42</f>
        <v>33283.902918958702</v>
      </c>
    </row>
    <row r="46" spans="2:3" x14ac:dyDescent="0.2">
      <c r="B46" s="13" t="s">
        <v>191</v>
      </c>
      <c r="C46" s="6">
        <f>C45/C43</f>
        <v>26.003049155436486</v>
      </c>
    </row>
    <row r="47" spans="2:3" x14ac:dyDescent="0.2">
      <c r="B47" s="15" t="s">
        <v>192</v>
      </c>
      <c r="C47" s="18">
        <f>C39+C42</f>
        <v>57796.835561566484</v>
      </c>
    </row>
    <row r="48" spans="2:3" x14ac:dyDescent="0.2">
      <c r="B48" s="13" t="s">
        <v>193</v>
      </c>
      <c r="C48" s="6">
        <f>C47/C43</f>
        <v>45.153777782473817</v>
      </c>
    </row>
    <row r="49" spans="2:10" x14ac:dyDescent="0.2">
      <c r="B49" s="13" t="s">
        <v>194</v>
      </c>
      <c r="C49" s="6">
        <f>AVERAGE(C46,C48)</f>
        <v>35.578413468955148</v>
      </c>
    </row>
    <row r="50" spans="2:10" x14ac:dyDescent="0.2">
      <c r="B50" s="13" t="s">
        <v>195</v>
      </c>
      <c r="C50" s="7">
        <f>C49/C44-1</f>
        <v>0.16497752026703183</v>
      </c>
    </row>
    <row r="54" spans="2:10" x14ac:dyDescent="0.2">
      <c r="B54" s="13" t="s">
        <v>196</v>
      </c>
    </row>
    <row r="55" spans="2:10" x14ac:dyDescent="0.2">
      <c r="E55" s="28" t="s">
        <v>197</v>
      </c>
      <c r="F55" s="32">
        <v>0.02</v>
      </c>
      <c r="G55" s="32">
        <v>2.5000000000000001E-2</v>
      </c>
      <c r="H55" s="32">
        <v>0.03</v>
      </c>
      <c r="I55" s="32">
        <v>3.5000000000000003E-2</v>
      </c>
      <c r="J55" s="32">
        <v>0.04</v>
      </c>
    </row>
    <row r="56" spans="2:10" x14ac:dyDescent="0.2">
      <c r="E56" s="7">
        <v>8.4000000000000005E-2</v>
      </c>
      <c r="F56" s="21">
        <f t="shared" ref="F56:J60" si="0">($F$22/(1+$E56)^$F$23+$G$22/(1+$E56)^$G$23+$H$22/(1+$E56)^$H$23+$I$22/(1+$E56)^$I$23+$J$22/(1+$E56)^$J$23+($J$22*(1+F$55)/($E56-F$55))/(1+$E56)^5+$C$42)/$C$43</f>
        <v>26.768742416772891</v>
      </c>
      <c r="G56" s="21">
        <f t="shared" si="0"/>
        <v>28.562094084286592</v>
      </c>
      <c r="H56" s="21">
        <f t="shared" si="0"/>
        <v>30.687547912450974</v>
      </c>
      <c r="I56" s="21">
        <f t="shared" si="0"/>
        <v>33.246767827995846</v>
      </c>
      <c r="J56" s="21">
        <f t="shared" si="0"/>
        <v>36.387628633437295</v>
      </c>
    </row>
    <row r="57" spans="2:10" x14ac:dyDescent="0.2">
      <c r="E57" s="7">
        <v>8.8999999999999996E-2</v>
      </c>
      <c r="F57" s="21">
        <f t="shared" si="0"/>
        <v>24.835452758569033</v>
      </c>
      <c r="G57" s="21">
        <f t="shared" si="0"/>
        <v>26.340929296451669</v>
      </c>
      <c r="H57" s="21">
        <f t="shared" si="0"/>
        <v>28.101571349229669</v>
      </c>
      <c r="I57" s="21">
        <f t="shared" si="0"/>
        <v>30.188258226596183</v>
      </c>
      <c r="J57" s="21">
        <f t="shared" si="0"/>
        <v>32.700799568731377</v>
      </c>
    </row>
    <row r="58" spans="2:10" x14ac:dyDescent="0.2">
      <c r="E58" s="7">
        <v>9.4E-2</v>
      </c>
      <c r="F58" s="21">
        <f t="shared" si="0"/>
        <v>23.165961861780705</v>
      </c>
      <c r="G58" s="21">
        <f t="shared" si="0"/>
        <v>24.444355135469596</v>
      </c>
      <c r="H58" s="21">
        <f t="shared" si="0"/>
        <v>25.922497358172386</v>
      </c>
      <c r="I58" s="21">
        <f t="shared" si="0"/>
        <v>27.651172160994285</v>
      </c>
      <c r="J58" s="21">
        <f t="shared" si="0"/>
        <v>29.699971927301732</v>
      </c>
    </row>
    <row r="59" spans="2:10" x14ac:dyDescent="0.2">
      <c r="E59" s="7">
        <v>9.9000000000000005E-2</v>
      </c>
      <c r="F59" s="21">
        <f t="shared" si="0"/>
        <v>21.710095631937087</v>
      </c>
      <c r="G59" s="21">
        <f t="shared" si="0"/>
        <v>22.806485452464635</v>
      </c>
      <c r="H59" s="21">
        <f t="shared" si="0"/>
        <v>24.061772348430971</v>
      </c>
      <c r="I59" s="21">
        <f t="shared" si="0"/>
        <v>25.513197821892039</v>
      </c>
      <c r="J59" s="21">
        <f t="shared" si="0"/>
        <v>27.210627612888885</v>
      </c>
    </row>
    <row r="60" spans="2:10" x14ac:dyDescent="0.2">
      <c r="E60" s="7">
        <v>0.104</v>
      </c>
      <c r="F60" s="21">
        <f t="shared" si="0"/>
        <v>20.42962941854675</v>
      </c>
      <c r="G60" s="21">
        <f t="shared" si="0"/>
        <v>21.378117557805115</v>
      </c>
      <c r="H60" s="21">
        <f t="shared" si="0"/>
        <v>22.454779769936234</v>
      </c>
      <c r="I60" s="21">
        <f t="shared" si="0"/>
        <v>23.687479983825487</v>
      </c>
      <c r="J60" s="21">
        <f t="shared" si="0"/>
        <v>25.112789606134935</v>
      </c>
    </row>
    <row r="62" spans="2:10" x14ac:dyDescent="0.2">
      <c r="B62" s="13" t="s">
        <v>198</v>
      </c>
    </row>
    <row r="63" spans="2:10" x14ac:dyDescent="0.2">
      <c r="E63" s="28" t="s">
        <v>199</v>
      </c>
      <c r="F63" s="33">
        <v>16</v>
      </c>
      <c r="G63" s="33">
        <v>17</v>
      </c>
      <c r="H63" s="33">
        <v>18</v>
      </c>
      <c r="I63" s="33">
        <v>19</v>
      </c>
      <c r="J63" s="33">
        <v>20</v>
      </c>
    </row>
    <row r="64" spans="2:10" x14ac:dyDescent="0.2">
      <c r="E64" s="7">
        <v>8.4000000000000005E-2</v>
      </c>
      <c r="F64" s="21">
        <f>($F$22/(1+$E64)^$F$23+$G$22/(1+$E64)^$G$23+$H$22/(1+$E64)^$H$23+$I$22/(1+$E64)^$I$23+$J$22/(1+$E64)^$J$23+('Income Statement'!$J$32*F$63)/(1+$E64)^5+$C$42)/$C$43</f>
        <v>42.59222902368559</v>
      </c>
      <c r="G64" s="21">
        <f>($F$22/(1+$E64)^$F$23+$G$22/(1+$E64)^$G$23+$H$22/(1+$E64)^$H$23+$I$22/(1+$E64)^$I$23+$J$22/(1+$E64)^$J$23+('Income Statement'!$J$32*G$63)/(1+$E64)^5+$C$42)/$C$43</f>
        <v>44.825706892233121</v>
      </c>
      <c r="H64" s="21">
        <f>($F$22/(1+$E64)^$F$23+$G$22/(1+$E64)^$G$23+$H$22/(1+$E64)^$H$23+$I$22/(1+$E64)^$I$23+$J$22/(1+$E64)^$J$23+('Income Statement'!$J$32*H$63)/(1+$E64)^5+$C$42)/$C$43</f>
        <v>47.059184760780646</v>
      </c>
      <c r="I64" s="21">
        <f>($F$22/(1+$E64)^$F$23+$G$22/(1+$E64)^$G$23+$H$22/(1+$E64)^$H$23+$I$22/(1+$E64)^$I$23+$J$22/(1+$E64)^$J$23+('Income Statement'!$J$32*I$63)/(1+$E64)^5+$C$42)/$C$43</f>
        <v>49.292662629328177</v>
      </c>
      <c r="J64" s="21">
        <f>($F$22/(1+$E64)^$F$23+$G$22/(1+$E64)^$G$23+$H$22/(1+$E64)^$H$23+$I$22/(1+$E64)^$I$23+$J$22/(1+$E64)^$J$23+('Income Statement'!$J$32*J$63)/(1+$E64)^5+$C$42)/$C$43</f>
        <v>51.526140497875701</v>
      </c>
    </row>
    <row r="65" spans="5:10" x14ac:dyDescent="0.2">
      <c r="E65" s="7">
        <v>8.8999999999999996E-2</v>
      </c>
      <c r="F65" s="21">
        <f>($F$22/(1+$E65)^$F$23+$G$22/(1+$E65)^$G$23+$H$22/(1+$E65)^$H$23+$I$22/(1+$E65)^$I$23+$J$22/(1+$E65)^$J$23+('Income Statement'!$J$32*F$63)/(1+$E65)^5+$C$42)/$C$43</f>
        <v>41.709090729967485</v>
      </c>
      <c r="G65" s="21">
        <f>($F$22/(1+$E65)^$F$23+$G$22/(1+$E65)^$G$23+$H$22/(1+$E65)^$H$23+$I$22/(1+$E65)^$I$23+$J$22/(1+$E65)^$J$23+('Income Statement'!$J$32*G$63)/(1+$E65)^5+$C$42)/$C$43</f>
        <v>43.891763677020315</v>
      </c>
      <c r="H65" s="21">
        <f>($F$22/(1+$E65)^$F$23+$G$22/(1+$E65)^$G$23+$H$22/(1+$E65)^$H$23+$I$22/(1+$E65)^$I$23+$J$22/(1+$E65)^$J$23+('Income Statement'!$J$32*H$63)/(1+$E65)^5+$C$42)/$C$43</f>
        <v>46.074436624073158</v>
      </c>
      <c r="I65" s="21">
        <f>($F$22/(1+$E65)^$F$23+$G$22/(1+$E65)^$G$23+$H$22/(1+$E65)^$H$23+$I$22/(1+$E65)^$I$23+$J$22/(1+$E65)^$J$23+('Income Statement'!$J$32*I$63)/(1+$E65)^5+$C$42)/$C$43</f>
        <v>48.257109571125987</v>
      </c>
      <c r="J65" s="21">
        <f>($F$22/(1+$E65)^$F$23+$G$22/(1+$E65)^$G$23+$H$22/(1+$E65)^$H$23+$I$22/(1+$E65)^$I$23+$J$22/(1+$E65)^$J$23+('Income Statement'!$J$32*J$63)/(1+$E65)^5+$C$42)/$C$43</f>
        <v>50.439782518178831</v>
      </c>
    </row>
    <row r="66" spans="5:10" x14ac:dyDescent="0.2">
      <c r="E66" s="7">
        <v>9.4E-2</v>
      </c>
      <c r="F66" s="21">
        <f>($F$22/(1+$E66)^$F$23+$G$22/(1+$E66)^$G$23+$H$22/(1+$E66)^$H$23+$I$22/(1+$E66)^$I$23+$J$22/(1+$E66)^$J$23+('Income Statement'!$J$32*F$63)/(1+$E66)^5+$C$42)/$C$43</f>
        <v>40.849433980452325</v>
      </c>
      <c r="G66" s="21">
        <f>($F$22/(1+$E66)^$F$23+$G$22/(1+$E66)^$G$23+$H$22/(1+$E66)^$H$23+$I$22/(1+$E66)^$I$23+$J$22/(1+$E66)^$J$23+('Income Statement'!$J$32*G$63)/(1+$E66)^5+$C$42)/$C$43</f>
        <v>42.982682507547366</v>
      </c>
      <c r="H66" s="21">
        <f>($F$22/(1+$E66)^$F$23+$G$22/(1+$E66)^$G$23+$H$22/(1+$E66)^$H$23+$I$22/(1+$E66)^$I$23+$J$22/(1+$E66)^$J$23+('Income Statement'!$J$32*H$63)/(1+$E66)^5+$C$42)/$C$43</f>
        <v>45.115931034642415</v>
      </c>
      <c r="I66" s="21">
        <f>($F$22/(1+$E66)^$F$23+$G$22/(1+$E66)^$G$23+$H$22/(1+$E66)^$H$23+$I$22/(1+$E66)^$I$23+$J$22/(1+$E66)^$J$23+('Income Statement'!$J$32*I$63)/(1+$E66)^5+$C$42)/$C$43</f>
        <v>47.249179561737456</v>
      </c>
      <c r="J66" s="21">
        <f>($F$22/(1+$E66)^$F$23+$G$22/(1+$E66)^$G$23+$H$22/(1+$E66)^$H$23+$I$22/(1+$E66)^$I$23+$J$22/(1+$E66)^$J$23+('Income Statement'!$J$32*J$63)/(1+$E66)^5+$C$42)/$C$43</f>
        <v>49.382428088832505</v>
      </c>
    </row>
    <row r="67" spans="5:10" x14ac:dyDescent="0.2">
      <c r="E67" s="7">
        <v>9.9000000000000005E-2</v>
      </c>
      <c r="F67" s="21">
        <f>($F$22/(1+$E67)^$F$23+$G$22/(1+$E67)^$G$23+$H$22/(1+$E67)^$H$23+$I$22/(1+$E67)^$I$23+$J$22/(1+$E67)^$J$23+('Income Statement'!$J$32*F$63)/(1+$E67)^5+$C$42)/$C$43</f>
        <v>40.012526060095489</v>
      </c>
      <c r="G67" s="21">
        <f>($F$22/(1+$E67)^$F$23+$G$22/(1+$E67)^$G$23+$H$22/(1+$E67)^$H$23+$I$22/(1+$E67)^$I$23+$J$22/(1+$E67)^$J$23+('Income Statement'!$J$32*G$63)/(1+$E67)^5+$C$42)/$C$43</f>
        <v>42.097687102590371</v>
      </c>
      <c r="H67" s="21">
        <f>($F$22/(1+$E67)^$F$23+$G$22/(1+$E67)^$G$23+$H$22/(1+$E67)^$H$23+$I$22/(1+$E67)^$I$23+$J$22/(1+$E67)^$J$23+('Income Statement'!$J$32*H$63)/(1+$E67)^5+$C$42)/$C$43</f>
        <v>44.182848145085266</v>
      </c>
      <c r="I67" s="21">
        <f>($F$22/(1+$E67)^$F$23+$G$22/(1+$E67)^$G$23+$H$22/(1+$E67)^$H$23+$I$22/(1+$E67)^$I$23+$J$22/(1+$E67)^$J$23+('Income Statement'!$J$32*I$63)/(1+$E67)^5+$C$42)/$C$43</f>
        <v>46.268009187580148</v>
      </c>
      <c r="J67" s="21">
        <f>($F$22/(1+$E67)^$F$23+$G$22/(1+$E67)^$G$23+$H$22/(1+$E67)^$H$23+$I$22/(1+$E67)^$I$23+$J$22/(1+$E67)^$J$23+('Income Statement'!$J$32*J$63)/(1+$E67)^5+$C$42)/$C$43</f>
        <v>48.353170230075037</v>
      </c>
    </row>
    <row r="68" spans="5:10" x14ac:dyDescent="0.2">
      <c r="E68" s="7">
        <v>0.104</v>
      </c>
      <c r="F68" s="21">
        <f>($F$22/(1+$E68)^$F$23+$G$22/(1+$E68)^$G$23+$H$22/(1+$E68)^$H$23+$I$22/(1+$E68)^$I$23+$J$22/(1+$E68)^$J$23+('Income Statement'!$J$32*F$63)/(1+$E68)^5+$C$42)/$C$43</f>
        <v>39.197660376784874</v>
      </c>
      <c r="G68" s="21">
        <f>($F$22/(1+$E68)^$F$23+$G$22/(1+$E68)^$G$23+$H$22/(1+$E68)^$H$23+$I$22/(1+$E68)^$I$23+$J$22/(1+$E68)^$J$23+('Income Statement'!$J$32*G$63)/(1+$E68)^5+$C$42)/$C$43</f>
        <v>41.236028868076922</v>
      </c>
      <c r="H68" s="21">
        <f>($F$22/(1+$E68)^$F$23+$G$22/(1+$E68)^$G$23+$H$22/(1+$E68)^$H$23+$I$22/(1+$E68)^$I$23+$J$22/(1+$E68)^$J$23+('Income Statement'!$J$32*H$63)/(1+$E68)^5+$C$42)/$C$43</f>
        <v>43.274397359368969</v>
      </c>
      <c r="I68" s="21">
        <f>($F$22/(1+$E68)^$F$23+$G$22/(1+$E68)^$G$23+$H$22/(1+$E68)^$H$23+$I$22/(1+$E68)^$I$23+$J$22/(1+$E68)^$J$23+('Income Statement'!$J$32*I$63)/(1+$E68)^5+$C$42)/$C$43</f>
        <v>45.312765850661016</v>
      </c>
      <c r="J68" s="21">
        <f>($F$22/(1+$E68)^$F$23+$G$22/(1+$E68)^$G$23+$H$22/(1+$E68)^$H$23+$I$22/(1+$E68)^$I$23+$J$22/(1+$E68)^$J$23+('Income Statement'!$J$32*J$63)/(1+$E68)^5+$C$42)/$C$43</f>
        <v>47.351134341953063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1"/>
  <sheetViews>
    <sheetView tabSelected="1" zoomScaleNormal="100" workbookViewId="0">
      <selection activeCell="I35" sqref="I35"/>
    </sheetView>
  </sheetViews>
  <sheetFormatPr baseColWidth="10" defaultColWidth="8.6640625" defaultRowHeight="15" x14ac:dyDescent="0.2"/>
  <cols>
    <col min="1" max="1" width="22" customWidth="1"/>
    <col min="2" max="2" width="9" customWidth="1"/>
    <col min="3" max="3" width="10" customWidth="1"/>
    <col min="4" max="5" width="11" customWidth="1"/>
    <col min="6" max="7" width="12" customWidth="1"/>
    <col min="8" max="8" width="10" customWidth="1"/>
    <col min="9" max="9" width="9" customWidth="1"/>
    <col min="10" max="10" width="10" customWidth="1"/>
    <col min="11" max="11" width="11" customWidth="1"/>
  </cols>
  <sheetData>
    <row r="1" spans="1:11" ht="18" x14ac:dyDescent="0.2">
      <c r="A1" s="11" t="s">
        <v>200</v>
      </c>
    </row>
    <row r="2" spans="1:11" x14ac:dyDescent="0.2">
      <c r="A2" s="12" t="s">
        <v>201</v>
      </c>
    </row>
    <row r="4" spans="1:11" x14ac:dyDescent="0.2">
      <c r="A4" s="34" t="s">
        <v>202</v>
      </c>
      <c r="B4" s="34" t="s">
        <v>203</v>
      </c>
      <c r="C4" s="34" t="s">
        <v>204</v>
      </c>
      <c r="D4" s="34" t="s">
        <v>205</v>
      </c>
      <c r="E4" s="34" t="s">
        <v>206</v>
      </c>
      <c r="F4" s="34" t="s">
        <v>207</v>
      </c>
      <c r="G4" s="34" t="s">
        <v>208</v>
      </c>
      <c r="H4" s="34" t="s">
        <v>209</v>
      </c>
      <c r="I4" s="34" t="s">
        <v>210</v>
      </c>
      <c r="J4" s="34" t="s">
        <v>211</v>
      </c>
      <c r="K4" s="34" t="s">
        <v>212</v>
      </c>
    </row>
    <row r="5" spans="1:11" x14ac:dyDescent="0.2">
      <c r="A5" s="13" t="s">
        <v>213</v>
      </c>
      <c r="B5" s="35" t="s">
        <v>214</v>
      </c>
      <c r="C5" s="36">
        <v>30.54</v>
      </c>
      <c r="D5" s="37">
        <v>39170</v>
      </c>
      <c r="E5" s="37">
        <v>43550</v>
      </c>
      <c r="F5" s="38">
        <f>'Income Statement'!E32</f>
        <v>2297.2000000000012</v>
      </c>
      <c r="G5" s="39">
        <f>E5/F5</f>
        <v>18.957861744732707</v>
      </c>
      <c r="H5" s="36">
        <v>1.0900000000000001</v>
      </c>
      <c r="I5" s="39">
        <v>28</v>
      </c>
      <c r="J5" s="39">
        <v>25.6</v>
      </c>
      <c r="K5" s="40">
        <v>0.10100000000000001</v>
      </c>
    </row>
    <row r="6" spans="1:11" x14ac:dyDescent="0.2">
      <c r="A6" s="15" t="s">
        <v>215</v>
      </c>
      <c r="B6" s="35" t="s">
        <v>216</v>
      </c>
      <c r="C6" s="36">
        <v>88.88</v>
      </c>
      <c r="D6" s="37">
        <v>10350</v>
      </c>
      <c r="E6" s="37">
        <v>10690</v>
      </c>
      <c r="F6" s="41">
        <v>149.1</v>
      </c>
      <c r="G6" s="39">
        <v>71.7</v>
      </c>
      <c r="H6" s="36">
        <v>0.52</v>
      </c>
      <c r="I6" s="39">
        <v>171.2</v>
      </c>
      <c r="J6" s="39">
        <v>145.5</v>
      </c>
      <c r="K6" s="40">
        <v>0.23</v>
      </c>
    </row>
    <row r="7" spans="1:11" x14ac:dyDescent="0.2">
      <c r="A7" s="15" t="s">
        <v>217</v>
      </c>
      <c r="B7" s="35" t="s">
        <v>218</v>
      </c>
      <c r="C7" s="36">
        <v>161.78</v>
      </c>
      <c r="D7" s="37">
        <v>4410</v>
      </c>
      <c r="E7" s="37">
        <v>5550</v>
      </c>
      <c r="F7" s="41">
        <v>224.6</v>
      </c>
      <c r="G7" s="39">
        <v>24.7</v>
      </c>
      <c r="H7" s="36">
        <v>4.01</v>
      </c>
      <c r="I7" s="39">
        <v>40.299999999999997</v>
      </c>
      <c r="J7" s="39">
        <v>34.200000000000003</v>
      </c>
      <c r="K7" s="40">
        <v>0.13500000000000001</v>
      </c>
    </row>
    <row r="8" spans="1:11" x14ac:dyDescent="0.2">
      <c r="A8" s="15" t="s">
        <v>219</v>
      </c>
      <c r="B8" s="35" t="s">
        <v>220</v>
      </c>
      <c r="C8" s="42" t="s">
        <v>221</v>
      </c>
      <c r="D8" s="42" t="s">
        <v>221</v>
      </c>
      <c r="E8" s="42" t="s">
        <v>221</v>
      </c>
      <c r="F8" s="42" t="s">
        <v>221</v>
      </c>
      <c r="G8" s="39">
        <v>18.3</v>
      </c>
      <c r="H8" s="42" t="s">
        <v>221</v>
      </c>
      <c r="I8" s="42" t="s">
        <v>221</v>
      </c>
      <c r="J8" s="39">
        <v>47.9</v>
      </c>
      <c r="K8" s="42" t="s">
        <v>221</v>
      </c>
    </row>
    <row r="9" spans="1:11" x14ac:dyDescent="0.2">
      <c r="A9" s="15" t="s">
        <v>222</v>
      </c>
      <c r="B9" s="35" t="s">
        <v>223</v>
      </c>
      <c r="C9" s="36">
        <v>177.75</v>
      </c>
      <c r="D9" s="37">
        <v>11680</v>
      </c>
      <c r="E9" s="37">
        <v>12520</v>
      </c>
      <c r="F9" s="41">
        <v>701.4</v>
      </c>
      <c r="G9" s="39">
        <v>17.899999999999999</v>
      </c>
      <c r="H9" s="36">
        <v>6.27</v>
      </c>
      <c r="I9" s="39">
        <v>28.4</v>
      </c>
      <c r="J9" s="39">
        <v>26.5</v>
      </c>
      <c r="K9" s="40">
        <v>9.6000000000000002E-2</v>
      </c>
    </row>
    <row r="10" spans="1:11" x14ac:dyDescent="0.2">
      <c r="A10" s="15" t="s">
        <v>224</v>
      </c>
      <c r="B10" s="35" t="s">
        <v>225</v>
      </c>
      <c r="C10" s="36">
        <v>9.0399999999999991</v>
      </c>
      <c r="D10" s="37">
        <v>1070</v>
      </c>
      <c r="E10" s="37">
        <v>1280</v>
      </c>
      <c r="F10" s="42" t="s">
        <v>221</v>
      </c>
      <c r="G10" s="42" t="s">
        <v>221</v>
      </c>
      <c r="H10" s="36">
        <v>0.14000000000000001</v>
      </c>
      <c r="I10" s="39">
        <v>64.7</v>
      </c>
      <c r="J10" s="42" t="s">
        <v>221</v>
      </c>
      <c r="K10" s="40">
        <v>7.3999999999999996E-2</v>
      </c>
    </row>
    <row r="12" spans="1:11" x14ac:dyDescent="0.2">
      <c r="A12" s="13" t="s">
        <v>226</v>
      </c>
      <c r="G12" s="33">
        <f>MEDIAN(G6,G7,G8,G9)</f>
        <v>21.5</v>
      </c>
      <c r="I12" s="33">
        <f>MEDIAN(I6,I7,I9)</f>
        <v>40.299999999999997</v>
      </c>
      <c r="J12" s="33">
        <f>MEDIAN(J7,J9)</f>
        <v>30.35</v>
      </c>
    </row>
    <row r="13" spans="1:11" x14ac:dyDescent="0.2">
      <c r="A13" s="2" t="s">
        <v>227</v>
      </c>
      <c r="G13" s="43">
        <f>AVERAGE(G7,G8,G9)</f>
        <v>20.3</v>
      </c>
    </row>
    <row r="15" spans="1:11" x14ac:dyDescent="0.2">
      <c r="A15" s="13" t="s">
        <v>228</v>
      </c>
    </row>
    <row r="16" spans="1:11" x14ac:dyDescent="0.2">
      <c r="A16" s="15" t="s">
        <v>229</v>
      </c>
      <c r="C16" s="18">
        <f>'Income Statement'!E32</f>
        <v>2297.2000000000012</v>
      </c>
    </row>
    <row r="17" spans="1:3" x14ac:dyDescent="0.2">
      <c r="A17" s="15" t="s">
        <v>230</v>
      </c>
      <c r="C17" s="31">
        <f>G12</f>
        <v>21.5</v>
      </c>
    </row>
    <row r="18" spans="1:3" x14ac:dyDescent="0.2">
      <c r="A18" s="15" t="s">
        <v>231</v>
      </c>
      <c r="C18" s="18">
        <f>C16*C17</f>
        <v>49389.800000000025</v>
      </c>
    </row>
    <row r="19" spans="1:3" x14ac:dyDescent="0.2">
      <c r="A19" s="15" t="s">
        <v>232</v>
      </c>
      <c r="C19" s="18">
        <f>'Balance Sheet'!E29</f>
        <v>1246.3</v>
      </c>
    </row>
    <row r="20" spans="1:3" x14ac:dyDescent="0.2">
      <c r="A20" s="15" t="s">
        <v>233</v>
      </c>
      <c r="C20" s="18">
        <f>C18+C19</f>
        <v>50636.100000000028</v>
      </c>
    </row>
    <row r="21" spans="1:3" x14ac:dyDescent="0.2">
      <c r="A21" s="15" t="s">
        <v>188</v>
      </c>
      <c r="C21" s="16">
        <v>1280</v>
      </c>
    </row>
    <row r="22" spans="1:3" x14ac:dyDescent="0.2">
      <c r="A22" s="13" t="s">
        <v>234</v>
      </c>
      <c r="C22" s="6">
        <f>C20/C21</f>
        <v>39.559453125000019</v>
      </c>
    </row>
    <row r="23" spans="1:3" x14ac:dyDescent="0.2">
      <c r="A23" s="15" t="s">
        <v>235</v>
      </c>
      <c r="C23" s="21">
        <v>30.54</v>
      </c>
    </row>
    <row r="24" spans="1:3" x14ac:dyDescent="0.2">
      <c r="A24" s="13" t="s">
        <v>236</v>
      </c>
      <c r="C24" s="7">
        <f>C22/C23-1</f>
        <v>0.29533245333988267</v>
      </c>
    </row>
    <row r="26" spans="1:3" x14ac:dyDescent="0.2">
      <c r="A26" s="13" t="s">
        <v>237</v>
      </c>
    </row>
    <row r="27" spans="1:3" x14ac:dyDescent="0.2">
      <c r="A27" s="15" t="s">
        <v>238</v>
      </c>
      <c r="C27" s="21">
        <f>'Income Statement'!F31</f>
        <v>1.316586100410136</v>
      </c>
    </row>
    <row r="28" spans="1:3" x14ac:dyDescent="0.2">
      <c r="A28" s="15" t="s">
        <v>239</v>
      </c>
      <c r="C28" s="31">
        <f>J12</f>
        <v>30.35</v>
      </c>
    </row>
    <row r="29" spans="1:3" x14ac:dyDescent="0.2">
      <c r="A29" s="13" t="s">
        <v>234</v>
      </c>
      <c r="C29" s="6">
        <f>C27*C28</f>
        <v>39.958388147447629</v>
      </c>
    </row>
    <row r="31" spans="1:3" x14ac:dyDescent="0.2">
      <c r="A31" s="12" t="s">
        <v>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Assumptions</vt:lpstr>
      <vt:lpstr>Income Statement</vt:lpstr>
      <vt:lpstr>Balance Sheet</vt:lpstr>
      <vt:lpstr>Cash Flow</vt:lpstr>
      <vt:lpstr>DCF</vt:lpstr>
      <vt:lpstr>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Luke Yin</cp:lastModifiedBy>
  <cp:revision>0</cp:revision>
  <dcterms:created xsi:type="dcterms:W3CDTF">2026-06-23T19:53:00Z</dcterms:created>
  <dcterms:modified xsi:type="dcterms:W3CDTF">2026-06-24T19:40:28Z</dcterms:modified>
  <dc:language>en-US</dc:language>
</cp:coreProperties>
</file>